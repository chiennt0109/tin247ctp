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ONG_TIN" sheetId="1" r:id="rId5"/>
    <sheet state="visible" name="MA_TRAN" sheetId="2" r:id="rId6"/>
    <sheet state="visible" name="BAN_DAC_TA" sheetId="3" r:id="rId7"/>
    <sheet state="visible" name="DANH_SACH_CAU" sheetId="4" r:id="rId8"/>
    <sheet state="visible" name="TINH_TOAN" sheetId="5" r:id="rId9"/>
  </sheets>
  <definedNames/>
  <calcPr/>
</workbook>
</file>

<file path=xl/sharedStrings.xml><?xml version="1.0" encoding="utf-8"?>
<sst xmlns="http://schemas.openxmlformats.org/spreadsheetml/2006/main" count="840" uniqueCount="349">
  <si>
    <t>Đề tham khảo thi tốt nghiệp THPT môn Tin học năm 2026 - Định hướng Khoa học máy tính (CS)</t>
  </si>
  <si>
    <t>MA TRẬN ĐỀ THI TỐT NGHIỆP THPT MÔN TIN HỌC - ĐỊNH HƯỚNG CS</t>
  </si>
  <si>
    <t>DANH SÁCH CÂU HỎI VÀ THÔNG TIN TÁI TẠO ĐỀ</t>
  </si>
  <si>
    <t>Mã đề TNTHPT26-CS-001 | Blueprint BP_TNTHPT_TINHOC_2026_CS_V2 | 50 phút | 10,0 điểm</t>
  </si>
  <si>
    <t>Trường</t>
  </si>
  <si>
    <t>BẢN ĐẶC TẢ ĐỀ THI TỐT NGHIỆP THPT MÔN TIN HỌC - ĐỊNH HƯỚNG CS</t>
  </si>
  <si>
    <t>Vị trí</t>
  </si>
  <si>
    <t>TT</t>
  </si>
  <si>
    <t>Blueprint Cell</t>
  </si>
  <si>
    <t>Chủ đề</t>
  </si>
  <si>
    <t>Question_ID</t>
  </si>
  <si>
    <t>Mã CT</t>
  </si>
  <si>
    <t>Nội dung/Đơn vị kiến thức</t>
  </si>
  <si>
    <t>Mã YCCĐ</t>
  </si>
  <si>
    <t>Phiên bản</t>
  </si>
  <si>
    <t>NLC-Biết</t>
  </si>
  <si>
    <t>Dạng câu</t>
  </si>
  <si>
    <t>Giá trị</t>
  </si>
  <si>
    <t>NLC-Hiểu</t>
  </si>
  <si>
    <t>NLC-Vận dụng</t>
  </si>
  <si>
    <t>Mức độ</t>
  </si>
  <si>
    <t>Đ/S-Biết</t>
  </si>
  <si>
    <t>Yêu cầu cần đạt</t>
  </si>
  <si>
    <t>Đ/S-Hiểu</t>
  </si>
  <si>
    <t>Chỉ số</t>
  </si>
  <si>
    <t>Family_ID</t>
  </si>
  <si>
    <t>Đ/S-Vận dụng</t>
  </si>
  <si>
    <t>Tổng-Biết</t>
  </si>
  <si>
    <t>Số lệnh</t>
  </si>
  <si>
    <t>Tổng-Hiểu</t>
  </si>
  <si>
    <t>Trạng thái</t>
  </si>
  <si>
    <t>Số lượng</t>
  </si>
  <si>
    <t>Tỉ lệ</t>
  </si>
  <si>
    <t>Tổng-Vận dụng</t>
  </si>
  <si>
    <t>Đáp án</t>
  </si>
  <si>
    <t>Điểm/nhóm</t>
  </si>
  <si>
    <t>Điểm quy đổi</t>
  </si>
  <si>
    <t>Option_Order</t>
  </si>
  <si>
    <t>EXAM_ID</t>
  </si>
  <si>
    <t>Tỉ lệ % điểm</t>
  </si>
  <si>
    <t>EXAM_TNTHPT_TINHOC_2026_CS_001</t>
  </si>
  <si>
    <t>Random_Seed</t>
  </si>
  <si>
    <t>Biết</t>
  </si>
  <si>
    <t>Shuffle</t>
  </si>
  <si>
    <t>Phân bố ý Đ/S</t>
  </si>
  <si>
    <t>Thời gian dự kiến (s)</t>
  </si>
  <si>
    <t>Độ khó</t>
  </si>
  <si>
    <t>Mã đề</t>
  </si>
  <si>
    <t>Nội dung</t>
  </si>
  <si>
    <t>TNTHPT26-CS-001</t>
  </si>
  <si>
    <t>Ghi chú</t>
  </si>
  <si>
    <t>A:Máy tính và xã hội tri thức</t>
  </si>
  <si>
    <t>Hiểu</t>
  </si>
  <si>
    <t>Blueprint_Slot_ID</t>
  </si>
  <si>
    <t>Trí tuệ nhân tạo và ứng dụng</t>
  </si>
  <si>
    <t>0</t>
  </si>
  <si>
    <t>Định hướng</t>
  </si>
  <si>
    <t>1
(C1)</t>
  </si>
  <si>
    <t>CS</t>
  </si>
  <si>
    <t>Q_TNT_F0001_D13_003</t>
  </si>
  <si>
    <t>Vận dụng</t>
  </si>
  <si>
    <t>BPC_TNTHPT_2026_CS_V2_001</t>
  </si>
  <si>
    <t>MCQ_SINGLE</t>
  </si>
  <si>
    <t>TH_12_COMMON_A_B01</t>
  </si>
  <si>
    <t>VANDUNG</t>
  </si>
  <si>
    <t>Blueprint</t>
  </si>
  <si>
    <t>TH_12_COMMON_A_B01_YCCD_04</t>
  </si>
  <si>
    <t>BP_TNTHPT_TINHOC_2026_CS_V2</t>
  </si>
  <si>
    <t>Tổng</t>
  </si>
  <si>
    <t>READY_FOR_GRADUATION</t>
  </si>
  <si>
    <t>B</t>
  </si>
  <si>
    <t>A,B,C,D</t>
  </si>
  <si>
    <t>Phiên bản blueprint</t>
  </si>
  <si>
    <t>TNTHPT2026-CS-001-FIXED</t>
  </si>
  <si>
    <t>Nêu được ví dụ để thấy một hệ thống AI có tri thức, có khả năng suy luận và khả năng học.</t>
  </si>
  <si>
    <t>NLC</t>
  </si>
  <si>
    <t>Policy Profile</t>
  </si>
  <si>
    <t>POL_TNTHPT_TINHOC_2026_V1</t>
  </si>
  <si>
    <t>Thời gian (phút)</t>
  </si>
  <si>
    <t>Hệ thống gợi ý video trên YouTube sử dụng khả năng học của AI chủ yếu để làm gì?</t>
  </si>
  <si>
    <t>Tổng lệnh hỏi</t>
  </si>
  <si>
    <t>BPS_TNTHPT_2026_CS_V2_001</t>
  </si>
  <si>
    <t>C1</t>
  </si>
  <si>
    <t>Q_TNT_F0002_002</t>
  </si>
  <si>
    <t>Tổng điểm</t>
  </si>
  <si>
    <t>APPROVED</t>
  </si>
  <si>
    <t>BIET</t>
  </si>
  <si>
    <t>Random Seed</t>
  </si>
  <si>
    <t>TH_12_COMMON_A_B01_YCCD_02</t>
  </si>
  <si>
    <t>Fixed selection; định hướng CS</t>
  </si>
  <si>
    <t>BPC_TNTHPT_2026_CS_V2_002</t>
  </si>
  <si>
    <t>Thiết bị nào sau đây thường được tích hợp trợ lí ảo?</t>
  </si>
  <si>
    <t>BPS_TNTHPT_2026_CS_V2_002</t>
  </si>
  <si>
    <t>Q_TNT_F0001_D18_002</t>
  </si>
  <si>
    <t>Nêu được ví dụ minh hoạ cho một số ứng dụng điển hình của AI.</t>
  </si>
  <si>
    <t>A</t>
  </si>
  <si>
    <t>C2</t>
  </si>
  <si>
    <t>Trong giáo dục, AI có thể được sử dụng để làm việc gì sau đây?</t>
  </si>
  <si>
    <t>BPS_TNTHPT_2026_CS_V2_003</t>
  </si>
  <si>
    <t>Q_TNT_F0001_D15_004</t>
  </si>
  <si>
    <t>BPC_TNTHPT_2026_CS_V2_003</t>
  </si>
  <si>
    <t>TH_12_COMMON_A_B01_YCCD_05</t>
  </si>
  <si>
    <t>Một hệ thống AI y tế được thiết kế để chẩn đoán bệnh nhân dựa trên dữ liệu hình ảnh và hồ sơ bệnh án. Tuy nhiên, hệ thống này thường xuyên đưa ra chẩn đoán sai đối với bệnh nhân thuộc một nhóm sắc tộc nhất định. Điều này phản ánh thách thức nào trong ứng dụng AI?</t>
  </si>
  <si>
    <t>BPS_TNTHPT_2026_CS_V2_004</t>
  </si>
  <si>
    <t>2
(C2, C3)</t>
  </si>
  <si>
    <t>Q_TNT_F0002_005</t>
  </si>
  <si>
    <t>TH_12_COMMON_B_B03</t>
  </si>
  <si>
    <t>C3</t>
  </si>
  <si>
    <t>TH_12_COMMON_B_B03_YCCD_01</t>
  </si>
  <si>
    <t>D</t>
  </si>
  <si>
    <t>BPC_TNTHPT_2026_CS_V2_004</t>
  </si>
  <si>
    <t>Thiết bị nào sau đây có chức năng chính là để kết nối không dây trong một mạng cục bộ?</t>
  </si>
  <si>
    <t>BPS_TNTHPT_2026_CS_V2_005</t>
  </si>
  <si>
    <t>Q_TNT_F0002_006</t>
  </si>
  <si>
    <t>Nêu được một cảnh báo về sự phát triển của AI trong tương lai.</t>
  </si>
  <si>
    <t>TH_10_COMMON_B_B08</t>
  </si>
  <si>
    <t>TH_10_COMMON_B_B08_YCCD_01</t>
  </si>
  <si>
    <t>C4</t>
  </si>
  <si>
    <t>LAN là loại mạng nào sau đây?</t>
  </si>
  <si>
    <t>BPS_TNTHPT_2026_CS_V2_006</t>
  </si>
  <si>
    <t>BPC_TNTHPT_2026_CS_V2_005</t>
  </si>
  <si>
    <t>1
(C4)</t>
  </si>
  <si>
    <t>Q_TNT_F0001_D19_020</t>
  </si>
  <si>
    <t>TH_12_COMMON_B_B05</t>
  </si>
  <si>
    <t>B:Mạng máy tính và Internet</t>
  </si>
  <si>
    <t>TH_12_COMMON_B_B05_YCCD_01</t>
  </si>
  <si>
    <t>Một số thiết bị mạng thông dụng</t>
  </si>
  <si>
    <t>Biết được một số thiết bị mạng thông dụng và chức năng của chúng.</t>
  </si>
  <si>
    <t>Để chia sẻ một thư mục trên mạng nội bộ, ta cần thực hiện thao tác nào trong Windows?</t>
  </si>
  <si>
    <t>BPS_TNTHPT_2026_CS_V2_007</t>
  </si>
  <si>
    <t>Q_TNT_F0002_008</t>
  </si>
  <si>
    <t>C5, C8</t>
  </si>
  <si>
    <t>FAM_8E4352D63C</t>
  </si>
  <si>
    <t>Phương án nào sau đây nêu đúng chức năng chính của Modem?</t>
  </si>
  <si>
    <t>BPS_TNTHPT_2026_CS_V2_008</t>
  </si>
  <si>
    <t>2
(C5, C8)</t>
  </si>
  <si>
    <t>Q_TNT_F0001_D14_023</t>
  </si>
  <si>
    <t>BPC_TNTHPT_2026_CS_V2_006</t>
  </si>
  <si>
    <t>TH_12_COMMON_F_B11</t>
  </si>
  <si>
    <t>TH_12_COMMON_F_B11_YCCD_01</t>
  </si>
  <si>
    <t>2
(C25a, C25b)</t>
  </si>
  <si>
    <t>2
(C25c, C25d)</t>
  </si>
  <si>
    <t>Khai báo HTML nào chèn tệp âm thanh “tienquanca.mp3” và hiển thị bộ điều khiển phát?</t>
  </si>
  <si>
    <t>BPS_TNTHPT_2026_CS_V2_009</t>
  </si>
  <si>
    <t>Mạng máy tính trong cuộc sống hiện đại</t>
  </si>
  <si>
    <t>Q_TNT_F0001_D13_021</t>
  </si>
  <si>
    <t>TH_12_COMMON_F_B15</t>
  </si>
  <si>
    <t>Trình bày được khái niệm và lợi ích của mạng máy tính; phân biệt được mạng LAN, WAN và Internet; nêu được một số dịch vụ Internet thông dụng.</t>
  </si>
  <si>
    <t>TH_12_COMMON_F_B15_YCCD_01</t>
  </si>
  <si>
    <t>Trong CSS, khai báo nào đổi màu nền của ô dữ liệu trong bảng khi người dùng đưa con trỏ chuột lên ô?</t>
  </si>
  <si>
    <t>C6</t>
  </si>
  <si>
    <t>BPS_TNTHPT_2026_CS_V2_010</t>
  </si>
  <si>
    <t>Q_TNT_F0002_011</t>
  </si>
  <si>
    <t>BPC_TNTHPT_2026_CS_V2_007</t>
  </si>
  <si>
    <t>TH_12_COMMON_F_B13</t>
  </si>
  <si>
    <t>TH_12_COMMON_F_B13_YCCD_01</t>
  </si>
  <si>
    <t>Thực hành chia sẻ tài nguyên trên mạng</t>
  </si>
  <si>
    <t>Thực hiện được chia sẻ thư mục, tệp và máy in trong mạng cục bộ trên hệ điều hành Windows; thiết lập được môi trường và quyền chia sẻ phù hợp.</t>
  </si>
  <si>
    <t>1
(C6)</t>
  </si>
  <si>
    <t>C7</t>
  </si>
  <si>
    <t>BPC_TNTHPT_2026_CS_V2_008</t>
  </si>
  <si>
    <t>F:Giải quyết vấn đề với sự trợ giúp của máy tính</t>
  </si>
  <si>
    <t>Chèn tệp tin đa phương tiện và khung nội tuyến vào trang web</t>
  </si>
  <si>
    <t>Chèn được hình ảnh, âm thanh, video và khung nội tuyến vào trang web bằng các phần tử và thuộc tính HTML phù hợp.</t>
  </si>
  <si>
    <t>Phương án nào sau đây nêu đúng cú pháp khai báo CSS ngoài (ngoại tuyến) trong một đoạn mã HTML?</t>
  </si>
  <si>
    <t>BPS_TNTHPT_2026_CS_V2_011</t>
  </si>
  <si>
    <t>Q_TNT_F0001_D11_013</t>
  </si>
  <si>
    <t>C9</t>
  </si>
  <si>
    <t>TH_12_COMMON_F_B10</t>
  </si>
  <si>
    <t>TH_12_COMMON_F_B10_YCCD_01</t>
  </si>
  <si>
    <t>BPC_TNTHPT_2026_CS_V2_009</t>
  </si>
  <si>
    <t>Tạo màu cho chữ và nền</t>
  </si>
  <si>
    <t>Biểu diễn và thiết lập được màu chữ, màu nền, màu khung bằng CSS; sử dụng được một số cách biểu diễn màu và tổ hợp bộ chọn.</t>
  </si>
  <si>
    <t>C10</t>
  </si>
  <si>
    <t>Hai tệp trangchu.html và gioithieu.html nằm trong cùng một thư mục. Cú pháp nào tạo liên kết tương đối từ trangchu.html đến gioithieu.html?</t>
  </si>
  <si>
    <t>BPS_TNTHPT_2026_CS_V2_012</t>
  </si>
  <si>
    <t>1
(C7)</t>
  </si>
  <si>
    <t>Q_TNT_F0001_D12_020</t>
  </si>
  <si>
    <t>BPC_TNTHPT_2026_CS_V2_010</t>
  </si>
  <si>
    <t>Khái niệm, vai trò của CSS</t>
  </si>
  <si>
    <t>TH_12_COMMON_F_B09</t>
  </si>
  <si>
    <t>Giải thích được khái niệm và vai trò của CSS; nhận biết được cấu trúc mẫu định dạng, bộ chọn, thuộc tính, giá trị và ba cách thiết lập CSS.</t>
  </si>
  <si>
    <t>TH_12_COMMON_F_B09_YCCD_01</t>
  </si>
  <si>
    <t>C</t>
  </si>
  <si>
    <t>C11</t>
  </si>
  <si>
    <t>BPC_TNTHPT_2026_CS_V2_011</t>
  </si>
  <si>
    <t>Tạo liên kết</t>
  </si>
  <si>
    <t>Tạo được liên kết đến trang web ngoài, trang trong cùng website, vị trí trong trang và địa chỉ thư điện tử; sử dụng được thuộc tính target.</t>
  </si>
  <si>
    <t>Đoạn mã HTML nào tạo một bảng rộng 100%, có đường viền, gồm một hàng với hai ô tiêu đề nền màu cam và nội dung căn phải?</t>
  </si>
  <si>
    <t>BPS_TNTHPT_2026_CS_V2_013</t>
  </si>
  <si>
    <t>C12</t>
  </si>
  <si>
    <t>Q_TNT_F0001_D15_011</t>
  </si>
  <si>
    <t>FAM_D6BB7552EF</t>
  </si>
  <si>
    <t>1
(C9)</t>
  </si>
  <si>
    <t>BPC_TNTHPT_2026_CS_V2_012</t>
  </si>
  <si>
    <t>Tạo danh sách, bảng</t>
  </si>
  <si>
    <t>Tạo và định dạng được danh sách có thứ tự, danh sách không thứ tự và bảng bằng các phần tử HTML phù hợp.</t>
  </si>
  <si>
    <t>Phương án nào sau đây nêu đúng cú pháp khai báo CSS nội tuyến trong HTML?</t>
  </si>
  <si>
    <t>BPS_TNTHPT_2026_CS_V2_014</t>
  </si>
  <si>
    <t>C13</t>
  </si>
  <si>
    <t>Q_TNT_F0001_D14_019</t>
  </si>
  <si>
    <t>BPC_TNTHPT_2026_CS_V2_013</t>
  </si>
  <si>
    <t>C14</t>
  </si>
  <si>
    <t>Đoạn mã nào tạo danh sách không có thứ tự gồm ba mục ngang cấp: “Trái cây”, “Rau củ”, “Thịt”?</t>
  </si>
  <si>
    <t>BPS_TNTHPT_2026_CS_V2_015</t>
  </si>
  <si>
    <t>BPC_TNTHPT_2026_CS_V2_014</t>
  </si>
  <si>
    <t>Q_TNT_F0001_D12_019</t>
  </si>
  <si>
    <t>1
(C10)</t>
  </si>
  <si>
    <t>C15</t>
  </si>
  <si>
    <t>BPC_TNTHPT_2026_CS_V2_015</t>
  </si>
  <si>
    <t>TH_12_COMMON_F_B12</t>
  </si>
  <si>
    <t>TH_12_COMMON_F_B12_YCCD_01</t>
  </si>
  <si>
    <t>Tạo biểu mẫu</t>
  </si>
  <si>
    <t>Tạo được biểu mẫu HTML và sử dụng được các điều khiển thông dụng như label, input, select, textarea và fieldset.</t>
  </si>
  <si>
    <t>C16</t>
  </si>
  <si>
    <t>BPC_TNTHPT_2026_CS_V2_016</t>
  </si>
  <si>
    <t>TH_12_COMMON_F_B17</t>
  </si>
  <si>
    <t>TH_12_COMMON_F_B17_YCCD_01</t>
  </si>
  <si>
    <t>Các mức ưu tiên của bộ chọn</t>
  </si>
  <si>
    <t>Giải thích và xác định được mức ưu tiên của các quy tắc CSS, gồm tính kế thừa, cascading, trọng số bộ chọn, pseudo-class, pseudo-element và !important.</t>
  </si>
  <si>
    <t>Phương án nào mô tả đúng kết quả hiển thị của đoạn mã HTML sau?
&lt;form&gt;
&lt;p&gt;Chọn câu lạc bộ bạn đang tham gia:&lt;/p&gt;
&lt;input type="checkbox" id="clbbongda" name="caulacbo"&gt;
&lt;label for="clbbongda"&gt;CLB Bóng đá&lt;/label&gt;
&lt;input type="checkbox" id="clbvovinam" name="caulacbo"&gt;
&lt;label for="clbvovinam"&gt;CLB Vovinam&lt;/label&gt;
&lt;/form&gt;</t>
  </si>
  <si>
    <t>BPS_TNTHPT_2026_CS_V2_016</t>
  </si>
  <si>
    <t>Q_TNT_F0001_D16_017</t>
  </si>
  <si>
    <t>C17</t>
  </si>
  <si>
    <t>BPC_TNTHPT_2026_CS_V2_017</t>
  </si>
  <si>
    <t>TH_10_COMMON_F_B20</t>
  </si>
  <si>
    <t>TH_10_COMMON_F_B20_YCCD_01</t>
  </si>
  <si>
    <t>Câu lệnh lặp for</t>
  </si>
  <si>
    <t>1
(C11)</t>
  </si>
  <si>
    <t>Sử dụng được câu lệnh for và range(start, stop) để giải quyết bài toán lặp với số lần biết trước.</t>
  </si>
  <si>
    <t>FAM_BBED04DDA0</t>
  </si>
  <si>
    <t>1
(C14)</t>
  </si>
  <si>
    <t>C18</t>
  </si>
  <si>
    <t>BPC_TNTHPT_2026_CS_V2_018</t>
  </si>
  <si>
    <t>TH_12_COMMON_D_B06</t>
  </si>
  <si>
    <t>TH_12_COMMON_D_B06_YCCD_01</t>
  </si>
  <si>
    <t>D:Đạo đức, pháp luật và văn hoá trong môi trường số</t>
  </si>
  <si>
    <t>Giao tiếp và ứng xử trong không gian mạng</t>
  </si>
  <si>
    <t>Một trang web liên kết lần lượt ba tệp CSS trong phần &lt;head&gt;: style1.css, style2.css và style3.css. Cả ba tệp đều khai báo màu chữ cho thẻ &lt;p&gt; với cùng độ đặc hiệu: style1.css đặt màu đỏ, style2.css đặt màu xanh dương và style3.css đặt màu xanh lá cây. Màu nào sẽ được áp dụng?</t>
  </si>
  <si>
    <t>Nhận biết được cách giữ gìn tính nhân văn trong giao tiếp và ứng xử ở không gian số.</t>
  </si>
  <si>
    <t>BPS_TNTHPT_2026_CS_V2_017</t>
  </si>
  <si>
    <t>C19, C20, C21</t>
  </si>
  <si>
    <t>Q_TNT_F0002_018</t>
  </si>
  <si>
    <t>BPC_TNTHPT_2026_CS_V2_019</t>
  </si>
  <si>
    <t>TH_12_COMMON_G_B19</t>
  </si>
  <si>
    <t>TH_12_COMMON_G_B19_YCCD_01</t>
  </si>
  <si>
    <t>HIEU</t>
  </si>
  <si>
    <t>G:Hướng nghiệp với tin học</t>
  </si>
  <si>
    <t>Dịch vụ sửa chữa và bảo trì máy tính</t>
  </si>
  <si>
    <t>Tìm hiểu được nhóm nghề dịch vụ sửa chữa và bảo trì máy tính để có thêm thông tin định hướng nghề nghiệp.</t>
  </si>
  <si>
    <t>FAM_6998194B0A</t>
  </si>
  <si>
    <t>C22</t>
  </si>
  <si>
    <t>BPC_TNTHPT_2026_CS_V2_020</t>
  </si>
  <si>
    <t>TH_12_COMMON_G_B20</t>
  </si>
  <si>
    <t>TH_12_COMMON_G_B20_YCCD_01</t>
  </si>
  <si>
    <t>Nhóm nghề quản trị thuộc ngành Công nghệ thông tin</t>
  </si>
  <si>
    <t>Tìm hiểu được nhóm nghề quản trị thuộc ngành Công nghệ thông tin để có thêm thông tin định hướng nghề nghiệp.</t>
  </si>
  <si>
    <t>Chọn một trong hai ngôn ngữ Python hoặc C++ để xem xét đoạn chương trình sau. Python: S = 0; for i in range(1,4): S += i*i; print(S). C++: int S = 0; for (int i = 1; i &lt; 4; i++) S += i*i; cout &lt;&lt; S; Phương án nào dưới đây nêu đúng giá trị của S sau khi thực hiện đoạn chương trình trên?</t>
  </si>
  <si>
    <t>BPS_TNTHPT_2026_CS_V2_018</t>
  </si>
  <si>
    <t>C23</t>
  </si>
  <si>
    <t>Q_TNT_F0002_019</t>
  </si>
  <si>
    <t>BPC_TNTHPT_2026_CS_V2_021</t>
  </si>
  <si>
    <t>C24</t>
  </si>
  <si>
    <t>1
(C12)</t>
  </si>
  <si>
    <t>BPC_TNTHPT_2026_CS_V2_022</t>
  </si>
  <si>
    <t>Hành vi nào sau đây thể hiện tính nhân văn trong giao tiếp trên không gian mạng?</t>
  </si>
  <si>
    <t>BPS_TNTHPT_2026_CS_V2_019</t>
  </si>
  <si>
    <t>Q_TNT_F0002_020</t>
  </si>
  <si>
    <t>Đ/S</t>
  </si>
  <si>
    <t>C25</t>
  </si>
  <si>
    <t>C25: B2-H2-V0</t>
  </si>
  <si>
    <t>Hành vi nào sau đây bị xem là vi phạm pháp luật trên không gian mạng?</t>
  </si>
  <si>
    <t>BPS_TNTHPT_2026_CS_V2_020</t>
  </si>
  <si>
    <t>BPC_TNTHPT_2026_CS_V2_023</t>
  </si>
  <si>
    <t>TH_11_COMMON_F_B13</t>
  </si>
  <si>
    <t>Q_TNT_F0002_021</t>
  </si>
  <si>
    <t>TH_11_COMMON_F_B13_YCCD_01</t>
  </si>
  <si>
    <t>Cơ sở dữ liệu quan hệ</t>
  </si>
  <si>
    <t>Phân biệt được các khái niệm bản ghi, trường, khoá, khoá chính, khoá ngoài và liên kết dữ liệu trong cơ sở dữ liệu quan hệ; biết cách chọn một khoá làm khoá chính.</t>
  </si>
  <si>
    <t>FAM_7FAB476482</t>
  </si>
  <si>
    <t>C26</t>
  </si>
  <si>
    <t>Việc tự ý đăng tải hình ảnh của người khác khi chưa được đồng ý xâm phạm quyền nào sau đây?</t>
  </si>
  <si>
    <t>C26: B0-H3-V1</t>
  </si>
  <si>
    <t>BPS_TNTHPT_2026_CS_V2_021</t>
  </si>
  <si>
    <t>Q_TNT_F0002_022</t>
  </si>
  <si>
    <t>BPC_TNTHPT_2026_CS_V2_024</t>
  </si>
  <si>
    <t>TH_12_CS_F_B25</t>
  </si>
  <si>
    <t>TH_12_CS_F_B25_YCCD_01</t>
  </si>
  <si>
    <t>Làm quen với Học máy</t>
  </si>
  <si>
    <t>2
(C13, C15)</t>
  </si>
  <si>
    <t>Giải thích được sơ lược về khái niệm Học máy.</t>
  </si>
  <si>
    <t>Công việc nào dưới đây thuộc nhóm nghề sửa chữa và bảo trì máy tính?</t>
  </si>
  <si>
    <t>BPS_TNTHPT_2026_CS_V2_022</t>
  </si>
  <si>
    <t>C27</t>
  </si>
  <si>
    <t>Q_TNT_F0002_023</t>
  </si>
  <si>
    <t>C27: B2-H2-V0</t>
  </si>
  <si>
    <t>BPC_TNTHPT_2026_CS_V2_025</t>
  </si>
  <si>
    <t>TH_11_CS_F_B19</t>
  </si>
  <si>
    <t>TH_11_CS_F_B19_YCCD_01</t>
  </si>
  <si>
    <t>Công việc nào dưới đây thuộc nghề quản trị mạng?</t>
  </si>
  <si>
    <t>Bài toán tìm kiếm</t>
  </si>
  <si>
    <t>BPS_TNTHPT_2026_CS_V2_023</t>
  </si>
  <si>
    <t>Mô tả và thực hiện được thuật toán tìm kiếm tuần tự và thuật toán tìm kiếm nhị phân.</t>
  </si>
  <si>
    <t>Q_TNT_F0002_024</t>
  </si>
  <si>
    <t>C28</t>
  </si>
  <si>
    <t>C28: B0-H3-V1</t>
  </si>
  <si>
    <t>NLC_BIET</t>
  </si>
  <si>
    <t>NLC_HIEU</t>
  </si>
  <si>
    <t>Vì sao việc máy tính được sử dụng ngày càng rộng rãi làm tăng nhu cầu nhân lực sửa chữa và bảo trì máy tính?</t>
  </si>
  <si>
    <t>NLC_VANDUNG</t>
  </si>
  <si>
    <t>BPS_TNTHPT_2026_CS_V2_024</t>
  </si>
  <si>
    <t>DS_BIET</t>
  </si>
  <si>
    <t>Q_TNT_F0002_025</t>
  </si>
  <si>
    <t>DS_HIEU</t>
  </si>
  <si>
    <t>TRUE_FALSE_GROUP</t>
  </si>
  <si>
    <t>DS_VANDUNG</t>
  </si>
  <si>
    <t>1
(C16)</t>
  </si>
  <si>
    <t>FAM_FC12F84C6C</t>
  </si>
  <si>
    <t>Đ,Đ,S,S</t>
  </si>
  <si>
    <t>a,b,c,d</t>
  </si>
  <si>
    <t>Một trường học có 3 phòng máy tính cần được lắp đặt mạng LAN cho từng phòng. Nhà trường đã đăng ký sử dụng Internet với nhà cung cấp dịch vụ (ISP) và được lắp đặt một Modem có tích hợp cả chức năng của Router và Access Point. Một số bạn học sinh đưa ra các ý kiến sau:</t>
  </si>
  <si>
    <t>BPS_TNTHPT_2026_CS_V2_025</t>
  </si>
  <si>
    <t>Q_TNT_F0001_D15_026</t>
  </si>
  <si>
    <t>FAM_E73975BBC1</t>
  </si>
  <si>
    <t>Đ,Đ,S,Đ</t>
  </si>
  <si>
    <t>1
(C17)</t>
  </si>
  <si>
    <t>Một cửa hàng quản lí bán hàng bằng CSDL quan hệ gồm SANPHAM(MaSP, TenSP, GiaBan), KHACHHANG(MaKH, TenKH, DiaChi, SoDT) và HOADON(MaHD, MaKH, MaSP, SoLuong, NgayLap). MaSP, MaKH và MaHD lần lượt là khóa chính; MaKH và MaSP trong HOADON là khóa ngoài. Xét các nhận định sau.</t>
  </si>
  <si>
    <t>BPS_TNTHPT_2026_CS_V2_026</t>
  </si>
  <si>
    <t>Q_TNT_F0002_027</t>
  </si>
  <si>
    <t>1
(C18)</t>
  </si>
  <si>
    <t>FAM_A2DAD284A0</t>
  </si>
  <si>
    <t>Một ngân hàng thương mại cần phân loại khách hàng thành các nhóm: “tốt”, “bình thường” và “xấu” theo hồ sơ tín dụng để có chính sách lãi suất cho vay phù hợp. Có 2 bạn học sinh đề xuất phương pháp như sau:
Học sinh A: Mời các chuyên gia tài chính gán nhãn “tốt”, “bình thường” và “xấu” cho từng khách hàng trong một tập khách hàng được chọn. Máy tính học cách phân loại từ tập dữ liệu đã gán nhãn này để phân loại cho các khách hàng khác.
Học sinh B: Máy tính tự động phân cụm toàn bộ tập dữ liệu khách hàng thành 3 cụm. Sau đó các chuyên gia được mời để gán nhãn cho các cụm này là “tốt”, “bình thường” và “xấu”.
Một số bạn học sinh có ý kiến như sau:</t>
  </si>
  <si>
    <t>BPS_TNTHPT_2026_CS_V2_027</t>
  </si>
  <si>
    <t>Q_TNT_F0001_D03_028</t>
  </si>
  <si>
    <t>S,Đ,S,Đ</t>
  </si>
  <si>
    <t>Cho hàm tìm kiếm tuần tự sau:
def find(a, x):
    for value in a:
        if value == x:
            return True
    return False
Xét các nhận định về cách cài đặt, độ phức tạp và kết quả của hàm.</t>
  </si>
  <si>
    <t>BPS_TNTHPT_2026_CS_V2_028</t>
  </si>
  <si>
    <t>3
(C19, C20, C21)</t>
  </si>
  <si>
    <t>1
(C22)</t>
  </si>
  <si>
    <t>1
(C24)</t>
  </si>
  <si>
    <t>1
(C23)</t>
  </si>
  <si>
    <t>3
(C26a, C26b, C26c)</t>
  </si>
  <si>
    <t>1
(C26d)</t>
  </si>
  <si>
    <t>2
(C27a, C27b)</t>
  </si>
  <si>
    <t>2
(C27c, C27d)</t>
  </si>
  <si>
    <t>3
(C28a, C28b, C28c)</t>
  </si>
  <si>
    <t>1
(C28d)</t>
  </si>
  <si>
    <t>TỔNG</t>
  </si>
  <si>
    <t>Ghi chú: Mỗi ô hiển thị Số lượng (vị trí câu/ý). NLC = trắc nghiệm nhiều lựa chọn; Đ/S = trắc nghiệm đúng/sai. Trong ma trận, mỗi lệnh hỏi/nhận định được quy đổi tương đương 0,25 điểm để kiểm tra phân bố 40%-30%-30%; chấm thực tế phần đúng/sai tuân theo thang điểm phi tuyến của nhóm.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</si>
</sst>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1.0"/>
      <color rgb="FF000000"/>
      <name val="Carlito"/>
      <scheme val="minor"/>
    </font>
    <font>
      <b/>
      <sz val="15.0"/>
      <color rgb="FFFFFFFF"/>
      <name val="Carlito"/>
    </font>
    <font>
      <b/>
      <sz val="11.0"/>
      <color rgb="FF1F1F1F"/>
      <name val="Carlito"/>
    </font>
    <font>
      <b/>
      <sz val="11.0"/>
      <color rgb="FFFFFFFF"/>
      <name val="Carlito"/>
    </font>
    <font>
      <sz val="11.0"/>
      <color theme="1"/>
      <name val="Carlito"/>
    </font>
    <font>
      <b/>
      <sz val="11.0"/>
      <color theme="1"/>
      <name val="Carlito"/>
    </font>
    <font/>
    <font>
      <i/>
      <sz val="11.0"/>
      <color theme="1"/>
      <name val="Carlito"/>
    </font>
  </fonts>
  <fills count="6">
    <fill>
      <patternFill patternType="none"/>
    </fill>
    <fill>
      <patternFill patternType="lightGray"/>
    </fill>
    <fill>
      <patternFill patternType="solid">
        <fgColor rgb="FF1F4E78"/>
        <bgColor rgb="FF1F4E78"/>
      </patternFill>
    </fill>
    <fill>
      <patternFill patternType="solid">
        <fgColor rgb="FFD9EAF7"/>
        <bgColor rgb="FFD9EAF7"/>
      </patternFill>
    </fill>
    <fill>
      <patternFill patternType="solid">
        <fgColor rgb="FF2F75B5"/>
        <bgColor rgb="FF2F75B5"/>
      </patternFill>
    </fill>
    <fill>
      <patternFill patternType="solid">
        <fgColor rgb="FFFFF2CC"/>
        <bgColor rgb="FFFFF2CC"/>
      </patternFill>
    </fill>
  </fills>
  <borders count="4">
    <border/>
    <border>
      <left/>
      <top/>
      <bottom/>
    </border>
    <border>
      <top/>
      <bottom/>
    </border>
    <border>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3" fontId="2" numFmtId="0" xfId="0" applyAlignment="1" applyFill="1" applyFont="1">
      <alignment horizontal="center" vertical="center"/>
    </xf>
    <xf borderId="1" fillId="4" fontId="3" numFmtId="0" xfId="0" applyAlignment="1" applyBorder="1" applyFill="1" applyFont="1">
      <alignment horizontal="center" shrinkToFit="0" vertical="center" wrapText="1"/>
    </xf>
    <xf borderId="2" fillId="4" fontId="3" numFmtId="0" xfId="0" applyAlignment="1" applyBorder="1" applyFont="1">
      <alignment horizontal="center" shrinkToFit="0" vertical="center" wrapText="1"/>
    </xf>
    <xf borderId="3" fillId="4" fontId="3" numFmtId="0" xfId="0" applyAlignment="1" applyBorder="1" applyFont="1">
      <alignment horizontal="center" shrinkToFit="0" vertical="center" wrapText="1"/>
    </xf>
    <xf borderId="0" fillId="0" fontId="4" numFmtId="0" xfId="0" applyAlignment="1" applyFont="1">
      <alignment shrinkToFit="0" vertical="center" wrapText="1"/>
    </xf>
    <xf borderId="0" fillId="0" fontId="4" numFmtId="9" xfId="0" applyAlignment="1" applyFont="1" applyNumberFormat="1">
      <alignment shrinkToFit="0" vertical="center" wrapText="1"/>
    </xf>
    <xf borderId="0" fillId="0" fontId="4" numFmtId="0" xfId="0" applyAlignment="1" applyFont="1">
      <alignment horizontal="center" shrinkToFit="0" vertical="center" wrapText="1"/>
    </xf>
    <xf borderId="0" fillId="0" fontId="4" numFmtId="2" xfId="0" applyAlignment="1" applyFont="1" applyNumberFormat="1">
      <alignment horizontal="center" shrinkToFit="0" vertical="center" wrapText="1"/>
    </xf>
    <xf borderId="0" fillId="0" fontId="4" numFmtId="164" xfId="0" applyAlignment="1" applyFont="1" applyNumberFormat="1">
      <alignment horizontal="center" shrinkToFit="0" vertical="center" wrapText="1"/>
    </xf>
    <xf borderId="1" fillId="3" fontId="5" numFmtId="0" xfId="0" applyAlignment="1" applyBorder="1" applyFont="1">
      <alignment horizontal="center" shrinkToFit="0" vertical="center" wrapText="1"/>
    </xf>
    <xf borderId="2" fillId="0" fontId="6" numFmtId="0" xfId="0" applyBorder="1" applyFont="1"/>
    <xf borderId="2" fillId="3" fontId="5" numFmtId="0" xfId="0" applyAlignment="1" applyBorder="1" applyFont="1">
      <alignment horizontal="center" shrinkToFit="0" vertical="center" wrapText="1"/>
    </xf>
    <xf borderId="2" fillId="3" fontId="5" numFmtId="2" xfId="0" applyAlignment="1" applyBorder="1" applyFont="1" applyNumberFormat="1">
      <alignment horizontal="center" shrinkToFit="0" vertical="center" wrapText="1"/>
    </xf>
    <xf borderId="3" fillId="3" fontId="5" numFmtId="164" xfId="0" applyAlignment="1" applyBorder="1" applyFont="1" applyNumberFormat="1">
      <alignment horizontal="center" shrinkToFit="0" vertical="center" wrapText="1"/>
    </xf>
    <xf borderId="0" fillId="5" fontId="7" numFmtId="0" xfId="0" applyAlignment="1" applyFill="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48.0"/>
    <col customWidth="1" min="3" max="3" width="8.63"/>
    <col customWidth="1" min="4" max="4" width="18.0"/>
    <col customWidth="1" min="5" max="6" width="14.0"/>
    <col customWidth="1" min="7" max="26" width="8.63"/>
  </cols>
  <sheetData>
    <row r="1" ht="18.0" customHeight="1">
      <c r="A1" s="1" t="s">
        <v>0</v>
      </c>
    </row>
    <row r="3" ht="15.0" customHeight="1">
      <c r="A3" s="3" t="s">
        <v>4</v>
      </c>
      <c r="B3" s="5" t="s">
        <v>17</v>
      </c>
      <c r="D3" s="3" t="s">
        <v>24</v>
      </c>
      <c r="E3" s="4" t="s">
        <v>28</v>
      </c>
      <c r="F3" s="5" t="s">
        <v>32</v>
      </c>
    </row>
    <row r="4" ht="52.5" customHeight="1">
      <c r="A4" s="6" t="s">
        <v>38</v>
      </c>
      <c r="B4" s="6" t="s">
        <v>40</v>
      </c>
      <c r="D4" s="6" t="s">
        <v>42</v>
      </c>
      <c r="E4" s="6">
        <v>16.0</v>
      </c>
      <c r="F4" s="7">
        <v>0.4</v>
      </c>
    </row>
    <row r="5" ht="26.25" customHeight="1">
      <c r="A5" s="6" t="s">
        <v>47</v>
      </c>
      <c r="B5" s="6" t="s">
        <v>49</v>
      </c>
      <c r="D5" s="6" t="s">
        <v>52</v>
      </c>
      <c r="E5" s="6">
        <v>12.0</v>
      </c>
      <c r="F5" s="7">
        <v>0.3</v>
      </c>
    </row>
    <row r="6" ht="26.25" customHeight="1">
      <c r="A6" s="6" t="s">
        <v>56</v>
      </c>
      <c r="B6" s="6" t="s">
        <v>58</v>
      </c>
      <c r="D6" s="6" t="s">
        <v>60</v>
      </c>
      <c r="E6" s="6">
        <v>12.0</v>
      </c>
      <c r="F6" s="7">
        <v>0.3</v>
      </c>
    </row>
    <row r="7" ht="52.5" customHeight="1">
      <c r="A7" s="6" t="s">
        <v>65</v>
      </c>
      <c r="B7" s="6" t="s">
        <v>67</v>
      </c>
      <c r="D7" s="6" t="s">
        <v>68</v>
      </c>
      <c r="E7" s="6">
        <v>40.0</v>
      </c>
      <c r="F7" s="7">
        <v>1.0</v>
      </c>
    </row>
    <row r="8" ht="26.25" customHeight="1">
      <c r="A8" s="6" t="s">
        <v>72</v>
      </c>
      <c r="B8" s="6">
        <v>2.0</v>
      </c>
    </row>
    <row r="9" ht="52.5" customHeight="1">
      <c r="A9" s="6" t="s">
        <v>76</v>
      </c>
      <c r="B9" s="6" t="s">
        <v>77</v>
      </c>
    </row>
    <row r="10" ht="26.25" customHeight="1">
      <c r="A10" s="6" t="s">
        <v>78</v>
      </c>
      <c r="B10" s="6">
        <v>50.0</v>
      </c>
    </row>
    <row r="11" ht="26.25" customHeight="1">
      <c r="A11" s="6" t="s">
        <v>80</v>
      </c>
      <c r="B11" s="6">
        <v>40.0</v>
      </c>
    </row>
    <row r="12" ht="15.0" customHeight="1">
      <c r="A12" s="6" t="s">
        <v>84</v>
      </c>
      <c r="B12" s="6">
        <v>10.0</v>
      </c>
    </row>
    <row r="13" ht="39.0" customHeight="1">
      <c r="A13" s="6" t="s">
        <v>87</v>
      </c>
      <c r="B13" s="6" t="s">
        <v>73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0"/>
    <col customWidth="1" min="2" max="2" width="25.0"/>
    <col customWidth="1" min="3" max="3" width="34.0"/>
    <col customWidth="1" min="4" max="5" width="14.0"/>
    <col customWidth="1" min="6" max="6" width="15.0"/>
    <col customWidth="1" min="7" max="8" width="14.0"/>
    <col customWidth="1" min="9" max="9" width="15.0"/>
    <col customWidth="1" min="10" max="11" width="12.0"/>
    <col customWidth="1" min="12" max="12" width="13.0"/>
    <col customWidth="1" min="13" max="14" width="14.0"/>
    <col customWidth="1" min="15" max="26" width="8.63"/>
  </cols>
  <sheetData>
    <row r="1" ht="18.0" customHeight="1">
      <c r="A1" s="1" t="s">
        <v>1</v>
      </c>
    </row>
    <row r="2" ht="15.0" customHeight="1">
      <c r="A2" s="2" t="s">
        <v>3</v>
      </c>
    </row>
    <row r="4" ht="52.5" customHeight="1">
      <c r="A4" s="3" t="s">
        <v>7</v>
      </c>
      <c r="B4" s="4" t="s">
        <v>9</v>
      </c>
      <c r="C4" s="4" t="s">
        <v>12</v>
      </c>
      <c r="D4" s="4" t="s">
        <v>15</v>
      </c>
      <c r="E4" s="4" t="s">
        <v>18</v>
      </c>
      <c r="F4" s="4" t="s">
        <v>19</v>
      </c>
      <c r="G4" s="4" t="s">
        <v>21</v>
      </c>
      <c r="H4" s="4" t="s">
        <v>23</v>
      </c>
      <c r="I4" s="4" t="s">
        <v>26</v>
      </c>
      <c r="J4" s="4" t="s">
        <v>27</v>
      </c>
      <c r="K4" s="4" t="s">
        <v>29</v>
      </c>
      <c r="L4" s="4" t="s">
        <v>33</v>
      </c>
      <c r="M4" s="4" t="s">
        <v>36</v>
      </c>
      <c r="N4" s="5" t="s">
        <v>39</v>
      </c>
    </row>
    <row r="5" ht="52.5" customHeight="1">
      <c r="A5" s="8">
        <v>1.0</v>
      </c>
      <c r="B5" s="6" t="s">
        <v>51</v>
      </c>
      <c r="C5" s="6" t="s">
        <v>54</v>
      </c>
      <c r="D5" s="8" t="s">
        <v>55</v>
      </c>
      <c r="E5" s="8" t="s">
        <v>55</v>
      </c>
      <c r="F5" s="8" t="s">
        <v>57</v>
      </c>
      <c r="G5" s="8" t="s">
        <v>55</v>
      </c>
      <c r="H5" s="8" t="s">
        <v>55</v>
      </c>
      <c r="I5" s="8" t="s">
        <v>55</v>
      </c>
      <c r="J5" s="8">
        <f>TINH_TOAN!B2+TINH_TOAN!E2</f>
        <v>0</v>
      </c>
      <c r="K5" s="8">
        <f>TINH_TOAN!C2+TINH_TOAN!F2</f>
        <v>0</v>
      </c>
      <c r="L5" s="8">
        <f>TINH_TOAN!D2+TINH_TOAN!G2</f>
        <v>1</v>
      </c>
      <c r="M5" s="9">
        <f t="shared" ref="M5:M24" si="1">(J5+K5+L5)*0.25</f>
        <v>0.25</v>
      </c>
      <c r="N5" s="10">
        <f t="shared" ref="N5:N24" si="2">M5/$M$25</f>
        <v>0.025</v>
      </c>
    </row>
    <row r="6" ht="52.5" customHeight="1">
      <c r="A6" s="8">
        <v>2.0</v>
      </c>
      <c r="B6" s="6" t="s">
        <v>51</v>
      </c>
      <c r="C6" s="6" t="s">
        <v>54</v>
      </c>
      <c r="D6" s="8" t="s">
        <v>104</v>
      </c>
      <c r="E6" s="8" t="s">
        <v>55</v>
      </c>
      <c r="F6" s="8" t="s">
        <v>55</v>
      </c>
      <c r="G6" s="8" t="s">
        <v>55</v>
      </c>
      <c r="H6" s="8" t="s">
        <v>55</v>
      </c>
      <c r="I6" s="8" t="s">
        <v>55</v>
      </c>
      <c r="J6" s="8">
        <f>TINH_TOAN!B3+TINH_TOAN!E3</f>
        <v>2</v>
      </c>
      <c r="K6" s="8">
        <f>TINH_TOAN!C3+TINH_TOAN!F3</f>
        <v>0</v>
      </c>
      <c r="L6" s="8">
        <f>TINH_TOAN!D3+TINH_TOAN!G3</f>
        <v>0</v>
      </c>
      <c r="M6" s="9">
        <f t="shared" si="1"/>
        <v>0.5</v>
      </c>
      <c r="N6" s="10">
        <f t="shared" si="2"/>
        <v>0.05</v>
      </c>
    </row>
    <row r="7" ht="52.5" customHeight="1">
      <c r="A7" s="8">
        <v>3.0</v>
      </c>
      <c r="B7" s="6" t="s">
        <v>51</v>
      </c>
      <c r="C7" s="6" t="s">
        <v>54</v>
      </c>
      <c r="D7" s="8" t="s">
        <v>55</v>
      </c>
      <c r="E7" s="8" t="s">
        <v>55</v>
      </c>
      <c r="F7" s="8" t="s">
        <v>121</v>
      </c>
      <c r="G7" s="8" t="s">
        <v>55</v>
      </c>
      <c r="H7" s="8" t="s">
        <v>55</v>
      </c>
      <c r="I7" s="8" t="s">
        <v>55</v>
      </c>
      <c r="J7" s="8">
        <f>TINH_TOAN!B4+TINH_TOAN!E4</f>
        <v>0</v>
      </c>
      <c r="K7" s="8">
        <f>TINH_TOAN!C4+TINH_TOAN!F4</f>
        <v>0</v>
      </c>
      <c r="L7" s="8">
        <f>TINH_TOAN!D4+TINH_TOAN!G4</f>
        <v>1</v>
      </c>
      <c r="M7" s="9">
        <f t="shared" si="1"/>
        <v>0.25</v>
      </c>
      <c r="N7" s="10">
        <f t="shared" si="2"/>
        <v>0.025</v>
      </c>
    </row>
    <row r="8" ht="66.0" customHeight="1">
      <c r="A8" s="8">
        <v>4.0</v>
      </c>
      <c r="B8" s="6" t="s">
        <v>124</v>
      </c>
      <c r="C8" s="6" t="s">
        <v>126</v>
      </c>
      <c r="D8" s="8" t="s">
        <v>135</v>
      </c>
      <c r="E8" s="8" t="s">
        <v>55</v>
      </c>
      <c r="F8" s="8" t="s">
        <v>55</v>
      </c>
      <c r="G8" s="8" t="s">
        <v>140</v>
      </c>
      <c r="H8" s="8" t="s">
        <v>141</v>
      </c>
      <c r="I8" s="8" t="s">
        <v>55</v>
      </c>
      <c r="J8" s="8">
        <f>TINH_TOAN!B5+TINH_TOAN!E5</f>
        <v>4</v>
      </c>
      <c r="K8" s="8">
        <f>TINH_TOAN!C5+TINH_TOAN!F5</f>
        <v>2</v>
      </c>
      <c r="L8" s="8">
        <f>TINH_TOAN!D5+TINH_TOAN!G5</f>
        <v>0</v>
      </c>
      <c r="M8" s="9">
        <f t="shared" si="1"/>
        <v>1.5</v>
      </c>
      <c r="N8" s="10">
        <f t="shared" si="2"/>
        <v>0.15</v>
      </c>
    </row>
    <row r="9" ht="52.5" customHeight="1">
      <c r="A9" s="8">
        <v>5.0</v>
      </c>
      <c r="B9" s="6" t="s">
        <v>124</v>
      </c>
      <c r="C9" s="6" t="s">
        <v>144</v>
      </c>
      <c r="D9" s="8" t="s">
        <v>158</v>
      </c>
      <c r="E9" s="8" t="s">
        <v>55</v>
      </c>
      <c r="F9" s="8" t="s">
        <v>55</v>
      </c>
      <c r="G9" s="8" t="s">
        <v>55</v>
      </c>
      <c r="H9" s="8" t="s">
        <v>55</v>
      </c>
      <c r="I9" s="8" t="s">
        <v>55</v>
      </c>
      <c r="J9" s="8">
        <f>TINH_TOAN!B6+TINH_TOAN!E6</f>
        <v>1</v>
      </c>
      <c r="K9" s="8">
        <f>TINH_TOAN!C6+TINH_TOAN!F6</f>
        <v>0</v>
      </c>
      <c r="L9" s="8">
        <f>TINH_TOAN!D6+TINH_TOAN!G6</f>
        <v>0</v>
      </c>
      <c r="M9" s="9">
        <f t="shared" si="1"/>
        <v>0.25</v>
      </c>
      <c r="N9" s="10">
        <f t="shared" si="2"/>
        <v>0.025</v>
      </c>
    </row>
    <row r="10" ht="52.5" customHeight="1">
      <c r="A10" s="8">
        <v>6.0</v>
      </c>
      <c r="B10" s="6" t="s">
        <v>124</v>
      </c>
      <c r="C10" s="6" t="s">
        <v>156</v>
      </c>
      <c r="D10" s="8" t="s">
        <v>176</v>
      </c>
      <c r="E10" s="8" t="s">
        <v>55</v>
      </c>
      <c r="F10" s="8" t="s">
        <v>55</v>
      </c>
      <c r="G10" s="8" t="s">
        <v>55</v>
      </c>
      <c r="H10" s="8" t="s">
        <v>55</v>
      </c>
      <c r="I10" s="8" t="s">
        <v>55</v>
      </c>
      <c r="J10" s="8">
        <f>TINH_TOAN!B7+TINH_TOAN!E7</f>
        <v>1</v>
      </c>
      <c r="K10" s="8">
        <f>TINH_TOAN!C7+TINH_TOAN!F7</f>
        <v>0</v>
      </c>
      <c r="L10" s="8">
        <f>TINH_TOAN!D7+TINH_TOAN!G7</f>
        <v>0</v>
      </c>
      <c r="M10" s="9">
        <f t="shared" si="1"/>
        <v>0.25</v>
      </c>
      <c r="N10" s="10">
        <f t="shared" si="2"/>
        <v>0.025</v>
      </c>
    </row>
    <row r="11" ht="92.25" customHeight="1">
      <c r="A11" s="8">
        <v>7.0</v>
      </c>
      <c r="B11" s="6" t="s">
        <v>161</v>
      </c>
      <c r="C11" s="6" t="s">
        <v>162</v>
      </c>
      <c r="D11" s="8" t="s">
        <v>55</v>
      </c>
      <c r="E11" s="8" t="s">
        <v>55</v>
      </c>
      <c r="F11" s="8" t="s">
        <v>193</v>
      </c>
      <c r="G11" s="8" t="s">
        <v>55</v>
      </c>
      <c r="H11" s="8" t="s">
        <v>55</v>
      </c>
      <c r="I11" s="8" t="s">
        <v>55</v>
      </c>
      <c r="J11" s="8">
        <f>TINH_TOAN!B8+TINH_TOAN!E8</f>
        <v>0</v>
      </c>
      <c r="K11" s="8">
        <f>TINH_TOAN!C8+TINH_TOAN!F8</f>
        <v>0</v>
      </c>
      <c r="L11" s="8">
        <f>TINH_TOAN!D8+TINH_TOAN!G8</f>
        <v>1</v>
      </c>
      <c r="M11" s="9">
        <f t="shared" si="1"/>
        <v>0.25</v>
      </c>
      <c r="N11" s="10">
        <f t="shared" si="2"/>
        <v>0.025</v>
      </c>
    </row>
    <row r="12" ht="78.75" customHeight="1">
      <c r="A12" s="8">
        <v>8.0</v>
      </c>
      <c r="B12" s="6" t="s">
        <v>161</v>
      </c>
      <c r="C12" s="6" t="s">
        <v>171</v>
      </c>
      <c r="D12" s="8" t="s">
        <v>55</v>
      </c>
      <c r="E12" s="8" t="s">
        <v>55</v>
      </c>
      <c r="F12" s="8" t="s">
        <v>207</v>
      </c>
      <c r="G12" s="8" t="s">
        <v>55</v>
      </c>
      <c r="H12" s="8" t="s">
        <v>55</v>
      </c>
      <c r="I12" s="8" t="s">
        <v>55</v>
      </c>
      <c r="J12" s="8">
        <f>TINH_TOAN!B9+TINH_TOAN!E9</f>
        <v>0</v>
      </c>
      <c r="K12" s="8">
        <f>TINH_TOAN!C9+TINH_TOAN!F9</f>
        <v>0</v>
      </c>
      <c r="L12" s="8">
        <f>TINH_TOAN!D9+TINH_TOAN!G9</f>
        <v>1</v>
      </c>
      <c r="M12" s="9">
        <f t="shared" si="1"/>
        <v>0.25</v>
      </c>
      <c r="N12" s="10">
        <f t="shared" si="2"/>
        <v>0.025</v>
      </c>
    </row>
    <row r="13" ht="78.75" customHeight="1">
      <c r="A13" s="8">
        <v>9.0</v>
      </c>
      <c r="B13" s="6" t="s">
        <v>161</v>
      </c>
      <c r="C13" s="6" t="s">
        <v>179</v>
      </c>
      <c r="D13" s="8" t="s">
        <v>228</v>
      </c>
      <c r="E13" s="8" t="s">
        <v>55</v>
      </c>
      <c r="F13" s="8" t="s">
        <v>231</v>
      </c>
      <c r="G13" s="8" t="s">
        <v>55</v>
      </c>
      <c r="H13" s="8" t="s">
        <v>55</v>
      </c>
      <c r="I13" s="8" t="s">
        <v>55</v>
      </c>
      <c r="J13" s="8">
        <f>TINH_TOAN!B10+TINH_TOAN!E10</f>
        <v>1</v>
      </c>
      <c r="K13" s="8">
        <f>TINH_TOAN!C10+TINH_TOAN!F10</f>
        <v>0</v>
      </c>
      <c r="L13" s="8">
        <f>TINH_TOAN!D10+TINH_TOAN!G10</f>
        <v>1</v>
      </c>
      <c r="M13" s="9">
        <f t="shared" si="1"/>
        <v>0.5</v>
      </c>
      <c r="N13" s="10">
        <f t="shared" si="2"/>
        <v>0.05</v>
      </c>
    </row>
    <row r="14" ht="78.75" customHeight="1">
      <c r="A14" s="8">
        <v>10.0</v>
      </c>
      <c r="B14" s="6" t="s">
        <v>161</v>
      </c>
      <c r="C14" s="6" t="s">
        <v>186</v>
      </c>
      <c r="D14" s="8" t="s">
        <v>55</v>
      </c>
      <c r="E14" s="8" t="s">
        <v>55</v>
      </c>
      <c r="F14" s="8" t="s">
        <v>263</v>
      </c>
      <c r="G14" s="8" t="s">
        <v>55</v>
      </c>
      <c r="H14" s="8" t="s">
        <v>55</v>
      </c>
      <c r="I14" s="8" t="s">
        <v>55</v>
      </c>
      <c r="J14" s="8">
        <f>TINH_TOAN!B11+TINH_TOAN!E11</f>
        <v>0</v>
      </c>
      <c r="K14" s="8">
        <f>TINH_TOAN!C11+TINH_TOAN!F11</f>
        <v>0</v>
      </c>
      <c r="L14" s="8">
        <f>TINH_TOAN!D11+TINH_TOAN!G11</f>
        <v>1</v>
      </c>
      <c r="M14" s="9">
        <f t="shared" si="1"/>
        <v>0.25</v>
      </c>
      <c r="N14" s="10">
        <f t="shared" si="2"/>
        <v>0.025</v>
      </c>
    </row>
    <row r="15" ht="78.75" customHeight="1">
      <c r="A15" s="8">
        <v>11.0</v>
      </c>
      <c r="B15" s="6" t="s">
        <v>161</v>
      </c>
      <c r="C15" s="6" t="s">
        <v>195</v>
      </c>
      <c r="D15" s="8" t="s">
        <v>55</v>
      </c>
      <c r="E15" s="8" t="s">
        <v>55</v>
      </c>
      <c r="F15" s="8" t="s">
        <v>289</v>
      </c>
      <c r="G15" s="8" t="s">
        <v>55</v>
      </c>
      <c r="H15" s="8" t="s">
        <v>55</v>
      </c>
      <c r="I15" s="8" t="s">
        <v>55</v>
      </c>
      <c r="J15" s="8">
        <f>TINH_TOAN!B12+TINH_TOAN!E12</f>
        <v>0</v>
      </c>
      <c r="K15" s="8">
        <f>TINH_TOAN!C12+TINH_TOAN!F12</f>
        <v>0</v>
      </c>
      <c r="L15" s="8">
        <f>TINH_TOAN!D12+TINH_TOAN!G12</f>
        <v>2</v>
      </c>
      <c r="M15" s="9">
        <f t="shared" si="1"/>
        <v>0.5</v>
      </c>
      <c r="N15" s="10">
        <f t="shared" si="2"/>
        <v>0.05</v>
      </c>
    </row>
    <row r="16" ht="78.75" customHeight="1">
      <c r="A16" s="8">
        <v>12.0</v>
      </c>
      <c r="B16" s="6" t="s">
        <v>161</v>
      </c>
      <c r="C16" s="6" t="s">
        <v>212</v>
      </c>
      <c r="D16" s="8" t="s">
        <v>55</v>
      </c>
      <c r="E16" s="8" t="s">
        <v>55</v>
      </c>
      <c r="F16" s="8" t="s">
        <v>316</v>
      </c>
      <c r="G16" s="8" t="s">
        <v>55</v>
      </c>
      <c r="H16" s="8" t="s">
        <v>55</v>
      </c>
      <c r="I16" s="8" t="s">
        <v>55</v>
      </c>
      <c r="J16" s="8">
        <f>TINH_TOAN!B13+TINH_TOAN!E13</f>
        <v>0</v>
      </c>
      <c r="K16" s="8">
        <f>TINH_TOAN!C13+TINH_TOAN!F13</f>
        <v>0</v>
      </c>
      <c r="L16" s="8">
        <f>TINH_TOAN!D13+TINH_TOAN!G13</f>
        <v>1</v>
      </c>
      <c r="M16" s="9">
        <f t="shared" si="1"/>
        <v>0.25</v>
      </c>
      <c r="N16" s="10">
        <f t="shared" si="2"/>
        <v>0.025</v>
      </c>
    </row>
    <row r="17" ht="78.75" customHeight="1">
      <c r="A17" s="8">
        <v>13.0</v>
      </c>
      <c r="B17" s="6" t="s">
        <v>161</v>
      </c>
      <c r="C17" s="6" t="s">
        <v>218</v>
      </c>
      <c r="D17" s="8" t="s">
        <v>55</v>
      </c>
      <c r="E17" s="8" t="s">
        <v>55</v>
      </c>
      <c r="F17" s="8" t="s">
        <v>325</v>
      </c>
      <c r="G17" s="8" t="s">
        <v>55</v>
      </c>
      <c r="H17" s="8" t="s">
        <v>55</v>
      </c>
      <c r="I17" s="8" t="s">
        <v>55</v>
      </c>
      <c r="J17" s="8">
        <f>TINH_TOAN!B14+TINH_TOAN!E14</f>
        <v>0</v>
      </c>
      <c r="K17" s="8">
        <f>TINH_TOAN!C14+TINH_TOAN!F14</f>
        <v>0</v>
      </c>
      <c r="L17" s="8">
        <f>TINH_TOAN!D14+TINH_TOAN!G14</f>
        <v>1</v>
      </c>
      <c r="M17" s="9">
        <f t="shared" si="1"/>
        <v>0.25</v>
      </c>
      <c r="N17" s="10">
        <f t="shared" si="2"/>
        <v>0.025</v>
      </c>
    </row>
    <row r="18" ht="78.75" customHeight="1">
      <c r="A18" s="8">
        <v>14.0</v>
      </c>
      <c r="B18" s="6" t="s">
        <v>161</v>
      </c>
      <c r="C18" s="6" t="s">
        <v>227</v>
      </c>
      <c r="D18" s="8" t="s">
        <v>55</v>
      </c>
      <c r="E18" s="8" t="s">
        <v>329</v>
      </c>
      <c r="F18" s="8" t="s">
        <v>55</v>
      </c>
      <c r="G18" s="8" t="s">
        <v>55</v>
      </c>
      <c r="H18" s="8" t="s">
        <v>55</v>
      </c>
      <c r="I18" s="8" t="s">
        <v>55</v>
      </c>
      <c r="J18" s="8">
        <f>TINH_TOAN!B15+TINH_TOAN!E15</f>
        <v>0</v>
      </c>
      <c r="K18" s="8">
        <f>TINH_TOAN!C15+TINH_TOAN!F15</f>
        <v>1</v>
      </c>
      <c r="L18" s="8">
        <f>TINH_TOAN!D15+TINH_TOAN!G15</f>
        <v>0</v>
      </c>
      <c r="M18" s="9">
        <f t="shared" si="1"/>
        <v>0.25</v>
      </c>
      <c r="N18" s="10">
        <f t="shared" si="2"/>
        <v>0.025</v>
      </c>
    </row>
    <row r="19" ht="78.75" customHeight="1">
      <c r="A19" s="8">
        <v>15.0</v>
      </c>
      <c r="B19" s="6" t="s">
        <v>236</v>
      </c>
      <c r="C19" s="6" t="s">
        <v>237</v>
      </c>
      <c r="D19" s="8" t="s">
        <v>337</v>
      </c>
      <c r="E19" s="8" t="s">
        <v>55</v>
      </c>
      <c r="F19" s="8" t="s">
        <v>55</v>
      </c>
      <c r="G19" s="8" t="s">
        <v>55</v>
      </c>
      <c r="H19" s="8" t="s">
        <v>55</v>
      </c>
      <c r="I19" s="8" t="s">
        <v>55</v>
      </c>
      <c r="J19" s="8">
        <f>TINH_TOAN!B16+TINH_TOAN!E16</f>
        <v>3</v>
      </c>
      <c r="K19" s="8">
        <f>TINH_TOAN!C16+TINH_TOAN!F16</f>
        <v>0</v>
      </c>
      <c r="L19" s="8">
        <f>TINH_TOAN!D16+TINH_TOAN!G16</f>
        <v>0</v>
      </c>
      <c r="M19" s="9">
        <f t="shared" si="1"/>
        <v>0.75</v>
      </c>
      <c r="N19" s="10">
        <f t="shared" si="2"/>
        <v>0.075</v>
      </c>
    </row>
    <row r="20" ht="52.5" customHeight="1">
      <c r="A20" s="8">
        <v>16.0</v>
      </c>
      <c r="B20" s="6" t="s">
        <v>247</v>
      </c>
      <c r="C20" s="6" t="s">
        <v>248</v>
      </c>
      <c r="D20" s="8" t="s">
        <v>338</v>
      </c>
      <c r="E20" s="8" t="s">
        <v>339</v>
      </c>
      <c r="F20" s="8" t="s">
        <v>55</v>
      </c>
      <c r="G20" s="8" t="s">
        <v>55</v>
      </c>
      <c r="H20" s="8" t="s">
        <v>55</v>
      </c>
      <c r="I20" s="8" t="s">
        <v>55</v>
      </c>
      <c r="J20" s="8">
        <f>TINH_TOAN!B17+TINH_TOAN!E17</f>
        <v>1</v>
      </c>
      <c r="K20" s="8">
        <f>TINH_TOAN!C17+TINH_TOAN!F17</f>
        <v>1</v>
      </c>
      <c r="L20" s="8">
        <f>TINH_TOAN!D17+TINH_TOAN!G17</f>
        <v>0</v>
      </c>
      <c r="M20" s="9">
        <f t="shared" si="1"/>
        <v>0.5</v>
      </c>
      <c r="N20" s="10">
        <f t="shared" si="2"/>
        <v>0.05</v>
      </c>
    </row>
    <row r="21" ht="78.75" customHeight="1">
      <c r="A21" s="8">
        <v>17.0</v>
      </c>
      <c r="B21" s="6" t="s">
        <v>247</v>
      </c>
      <c r="C21" s="6" t="s">
        <v>255</v>
      </c>
      <c r="D21" s="8" t="s">
        <v>340</v>
      </c>
      <c r="E21" s="8" t="s">
        <v>55</v>
      </c>
      <c r="F21" s="8" t="s">
        <v>55</v>
      </c>
      <c r="G21" s="8" t="s">
        <v>55</v>
      </c>
      <c r="H21" s="8" t="s">
        <v>55</v>
      </c>
      <c r="I21" s="8" t="s">
        <v>55</v>
      </c>
      <c r="J21" s="8">
        <f>TINH_TOAN!B18+TINH_TOAN!E18</f>
        <v>1</v>
      </c>
      <c r="K21" s="8">
        <f>TINH_TOAN!C18+TINH_TOAN!F18</f>
        <v>0</v>
      </c>
      <c r="L21" s="8">
        <f>TINH_TOAN!D18+TINH_TOAN!G18</f>
        <v>0</v>
      </c>
      <c r="M21" s="9">
        <f t="shared" si="1"/>
        <v>0.25</v>
      </c>
      <c r="N21" s="10">
        <f t="shared" si="2"/>
        <v>0.025</v>
      </c>
    </row>
    <row r="22" ht="78.75" customHeight="1">
      <c r="A22" s="8">
        <v>18.0</v>
      </c>
      <c r="B22" s="6" t="s">
        <v>161</v>
      </c>
      <c r="C22" s="6" t="s">
        <v>277</v>
      </c>
      <c r="D22" s="8" t="s">
        <v>55</v>
      </c>
      <c r="E22" s="8" t="s">
        <v>55</v>
      </c>
      <c r="F22" s="8" t="s">
        <v>55</v>
      </c>
      <c r="G22" s="8" t="s">
        <v>55</v>
      </c>
      <c r="H22" s="8" t="s">
        <v>341</v>
      </c>
      <c r="I22" s="8" t="s">
        <v>342</v>
      </c>
      <c r="J22" s="8">
        <f>TINH_TOAN!B19+TINH_TOAN!E19</f>
        <v>0</v>
      </c>
      <c r="K22" s="8">
        <f>TINH_TOAN!C19+TINH_TOAN!F19</f>
        <v>3</v>
      </c>
      <c r="L22" s="8">
        <f>TINH_TOAN!D19+TINH_TOAN!G19</f>
        <v>1</v>
      </c>
      <c r="M22" s="9">
        <f t="shared" si="1"/>
        <v>1</v>
      </c>
      <c r="N22" s="10">
        <f t="shared" si="2"/>
        <v>0.1</v>
      </c>
    </row>
    <row r="23" ht="78.75" customHeight="1">
      <c r="A23" s="8">
        <v>19.0</v>
      </c>
      <c r="B23" s="6" t="s">
        <v>161</v>
      </c>
      <c r="C23" s="6" t="s">
        <v>288</v>
      </c>
      <c r="D23" s="8" t="s">
        <v>55</v>
      </c>
      <c r="E23" s="8" t="s">
        <v>55</v>
      </c>
      <c r="F23" s="8" t="s">
        <v>55</v>
      </c>
      <c r="G23" s="8" t="s">
        <v>343</v>
      </c>
      <c r="H23" s="8" t="s">
        <v>344</v>
      </c>
      <c r="I23" s="8" t="s">
        <v>55</v>
      </c>
      <c r="J23" s="8">
        <f>TINH_TOAN!B20+TINH_TOAN!E20</f>
        <v>2</v>
      </c>
      <c r="K23" s="8">
        <f>TINH_TOAN!C20+TINH_TOAN!F20</f>
        <v>2</v>
      </c>
      <c r="L23" s="8">
        <f>TINH_TOAN!D20+TINH_TOAN!G20</f>
        <v>0</v>
      </c>
      <c r="M23" s="9">
        <f t="shared" si="1"/>
        <v>1</v>
      </c>
      <c r="N23" s="10">
        <f t="shared" si="2"/>
        <v>0.1</v>
      </c>
    </row>
    <row r="24" ht="78.75" customHeight="1">
      <c r="A24" s="8">
        <v>20.0</v>
      </c>
      <c r="B24" s="6" t="s">
        <v>161</v>
      </c>
      <c r="C24" s="6" t="s">
        <v>300</v>
      </c>
      <c r="D24" s="8" t="s">
        <v>55</v>
      </c>
      <c r="E24" s="8" t="s">
        <v>55</v>
      </c>
      <c r="F24" s="8" t="s">
        <v>55</v>
      </c>
      <c r="G24" s="8" t="s">
        <v>55</v>
      </c>
      <c r="H24" s="8" t="s">
        <v>345</v>
      </c>
      <c r="I24" s="8" t="s">
        <v>346</v>
      </c>
      <c r="J24" s="8">
        <f>TINH_TOAN!B21+TINH_TOAN!E21</f>
        <v>0</v>
      </c>
      <c r="K24" s="8">
        <f>TINH_TOAN!C21+TINH_TOAN!F21</f>
        <v>3</v>
      </c>
      <c r="L24" s="8">
        <f>TINH_TOAN!D21+TINH_TOAN!G21</f>
        <v>1</v>
      </c>
      <c r="M24" s="9">
        <f t="shared" si="1"/>
        <v>1</v>
      </c>
      <c r="N24" s="10">
        <f t="shared" si="2"/>
        <v>0.1</v>
      </c>
    </row>
    <row r="25" ht="15.0" customHeight="1">
      <c r="A25" s="11" t="s">
        <v>347</v>
      </c>
      <c r="B25" s="12"/>
      <c r="C25" s="12"/>
      <c r="D25" s="13">
        <f>SUM(TINH_TOAN!B2:B21)</f>
        <v>12</v>
      </c>
      <c r="E25" s="13">
        <f>SUM(TINH_TOAN!C2:C21)</f>
        <v>2</v>
      </c>
      <c r="F25" s="13">
        <f>SUM(TINH_TOAN!D2:D21)</f>
        <v>10</v>
      </c>
      <c r="G25" s="13">
        <f>SUM(TINH_TOAN!E2:E21)</f>
        <v>4</v>
      </c>
      <c r="H25" s="13">
        <f>SUM(TINH_TOAN!F2:F21)</f>
        <v>10</v>
      </c>
      <c r="I25" s="13">
        <f>SUM(TINH_TOAN!G2:G21)</f>
        <v>2</v>
      </c>
      <c r="J25" s="13">
        <f t="shared" ref="J25:L25" si="3">D25+G25</f>
        <v>16</v>
      </c>
      <c r="K25" s="13">
        <f t="shared" si="3"/>
        <v>12</v>
      </c>
      <c r="L25" s="13">
        <f t="shared" si="3"/>
        <v>12</v>
      </c>
      <c r="M25" s="14">
        <f t="shared" ref="M25:N25" si="4">SUM(M5:M24)</f>
        <v>10</v>
      </c>
      <c r="N25" s="15">
        <f t="shared" si="4"/>
        <v>1</v>
      </c>
    </row>
    <row r="26" ht="15.75" customHeight="1"/>
    <row r="27" ht="15.75" customHeight="1">
      <c r="A27" s="16" t="s">
        <v>348</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25:C25"/>
    <mergeCell ref="A27:N2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0"/>
    <col customWidth="1" min="2" max="2" width="28.0"/>
    <col customWidth="1" min="3" max="3" width="25.0"/>
    <col customWidth="1" min="4" max="4" width="30.0"/>
    <col customWidth="1" min="5" max="5" width="25.0"/>
    <col customWidth="1" min="6" max="6" width="30.0"/>
    <col customWidth="1" min="7" max="7" width="55.0"/>
    <col customWidth="1" min="8" max="8" width="10.0"/>
    <col customWidth="1" min="9" max="9" width="13.0"/>
    <col customWidth="1" min="10" max="10" width="10.0"/>
    <col customWidth="1" min="11" max="11" width="12.0"/>
    <col customWidth="1" min="12" max="12" width="14.0"/>
    <col customWidth="1" min="13" max="13" width="24.0"/>
    <col customWidth="1" min="14" max="14" width="14.0"/>
    <col customWidth="1" min="15" max="15" width="26.0"/>
    <col customWidth="1" min="16" max="26" width="8.63"/>
  </cols>
  <sheetData>
    <row r="1" ht="18.0" customHeight="1">
      <c r="A1" s="1" t="s">
        <v>5</v>
      </c>
    </row>
    <row r="3" ht="52.5" customHeight="1">
      <c r="A3" s="3" t="s">
        <v>7</v>
      </c>
      <c r="B3" s="4" t="s">
        <v>8</v>
      </c>
      <c r="C3" s="4" t="s">
        <v>11</v>
      </c>
      <c r="D3" s="4" t="s">
        <v>13</v>
      </c>
      <c r="E3" s="4" t="s">
        <v>9</v>
      </c>
      <c r="F3" s="4" t="s">
        <v>12</v>
      </c>
      <c r="G3" s="4" t="s">
        <v>22</v>
      </c>
      <c r="H3" s="4" t="s">
        <v>16</v>
      </c>
      <c r="I3" s="4" t="s">
        <v>20</v>
      </c>
      <c r="J3" s="4" t="s">
        <v>31</v>
      </c>
      <c r="K3" s="4" t="s">
        <v>35</v>
      </c>
      <c r="L3" s="4" t="s">
        <v>6</v>
      </c>
      <c r="M3" s="4" t="s">
        <v>44</v>
      </c>
      <c r="N3" s="4" t="s">
        <v>30</v>
      </c>
      <c r="O3" s="5" t="s">
        <v>50</v>
      </c>
    </row>
    <row r="4" ht="132.0" customHeight="1">
      <c r="A4" s="6">
        <v>1.0</v>
      </c>
      <c r="B4" s="6" t="s">
        <v>61</v>
      </c>
      <c r="C4" s="6" t="s">
        <v>63</v>
      </c>
      <c r="D4" s="6" t="s">
        <v>66</v>
      </c>
      <c r="E4" s="6" t="s">
        <v>51</v>
      </c>
      <c r="F4" s="6" t="s">
        <v>54</v>
      </c>
      <c r="G4" s="6" t="s">
        <v>74</v>
      </c>
      <c r="H4" s="6" t="s">
        <v>75</v>
      </c>
      <c r="I4" s="6" t="s">
        <v>60</v>
      </c>
      <c r="J4" s="6">
        <v>1.0</v>
      </c>
      <c r="K4" s="6">
        <v>0.25</v>
      </c>
      <c r="L4" s="6" t="s">
        <v>82</v>
      </c>
      <c r="M4" s="6"/>
      <c r="N4" s="6" t="s">
        <v>85</v>
      </c>
      <c r="O4" s="6" t="s">
        <v>89</v>
      </c>
    </row>
    <row r="5" ht="92.25" customHeight="1">
      <c r="A5" s="6">
        <v>2.0</v>
      </c>
      <c r="B5" s="6" t="s">
        <v>90</v>
      </c>
      <c r="C5" s="6" t="s">
        <v>63</v>
      </c>
      <c r="D5" s="6" t="s">
        <v>88</v>
      </c>
      <c r="E5" s="6" t="s">
        <v>51</v>
      </c>
      <c r="F5" s="6" t="s">
        <v>54</v>
      </c>
      <c r="G5" s="6" t="s">
        <v>94</v>
      </c>
      <c r="H5" s="6" t="s">
        <v>75</v>
      </c>
      <c r="I5" s="6" t="s">
        <v>42</v>
      </c>
      <c r="J5" s="6">
        <v>1.0</v>
      </c>
      <c r="K5" s="6">
        <v>0.25</v>
      </c>
      <c r="L5" s="6" t="s">
        <v>96</v>
      </c>
      <c r="M5" s="6"/>
      <c r="N5" s="6" t="s">
        <v>85</v>
      </c>
      <c r="O5" s="6" t="s">
        <v>89</v>
      </c>
    </row>
    <row r="6" ht="92.25" customHeight="1">
      <c r="A6" s="6">
        <v>3.0</v>
      </c>
      <c r="B6" s="6" t="s">
        <v>100</v>
      </c>
      <c r="C6" s="6" t="s">
        <v>63</v>
      </c>
      <c r="D6" s="6" t="s">
        <v>88</v>
      </c>
      <c r="E6" s="6" t="s">
        <v>51</v>
      </c>
      <c r="F6" s="6" t="s">
        <v>54</v>
      </c>
      <c r="G6" s="6" t="s">
        <v>94</v>
      </c>
      <c r="H6" s="6" t="s">
        <v>75</v>
      </c>
      <c r="I6" s="6" t="s">
        <v>42</v>
      </c>
      <c r="J6" s="6">
        <v>1.0</v>
      </c>
      <c r="K6" s="6">
        <v>0.25</v>
      </c>
      <c r="L6" s="6" t="s">
        <v>107</v>
      </c>
      <c r="M6" s="6"/>
      <c r="N6" s="6" t="s">
        <v>85</v>
      </c>
      <c r="O6" s="6" t="s">
        <v>89</v>
      </c>
    </row>
    <row r="7" ht="92.25" customHeight="1">
      <c r="A7" s="6">
        <v>4.0</v>
      </c>
      <c r="B7" s="6" t="s">
        <v>110</v>
      </c>
      <c r="C7" s="6" t="s">
        <v>63</v>
      </c>
      <c r="D7" s="6" t="s">
        <v>101</v>
      </c>
      <c r="E7" s="6" t="s">
        <v>51</v>
      </c>
      <c r="F7" s="6" t="s">
        <v>54</v>
      </c>
      <c r="G7" s="6" t="s">
        <v>114</v>
      </c>
      <c r="H7" s="6" t="s">
        <v>75</v>
      </c>
      <c r="I7" s="6" t="s">
        <v>60</v>
      </c>
      <c r="J7" s="6">
        <v>1.0</v>
      </c>
      <c r="K7" s="6">
        <v>0.25</v>
      </c>
      <c r="L7" s="6" t="s">
        <v>117</v>
      </c>
      <c r="M7" s="6"/>
      <c r="N7" s="6" t="s">
        <v>85</v>
      </c>
      <c r="O7" s="6" t="s">
        <v>89</v>
      </c>
    </row>
    <row r="8" ht="118.5" customHeight="1">
      <c r="A8" s="6">
        <v>5.0</v>
      </c>
      <c r="B8" s="6" t="s">
        <v>120</v>
      </c>
      <c r="C8" s="6" t="s">
        <v>106</v>
      </c>
      <c r="D8" s="6" t="s">
        <v>108</v>
      </c>
      <c r="E8" s="6" t="s">
        <v>124</v>
      </c>
      <c r="F8" s="6" t="s">
        <v>126</v>
      </c>
      <c r="G8" s="6" t="s">
        <v>127</v>
      </c>
      <c r="H8" s="6" t="s">
        <v>75</v>
      </c>
      <c r="I8" s="6" t="s">
        <v>42</v>
      </c>
      <c r="J8" s="6">
        <v>2.0</v>
      </c>
      <c r="K8" s="6">
        <v>0.25</v>
      </c>
      <c r="L8" s="6" t="s">
        <v>131</v>
      </c>
      <c r="M8" s="6"/>
      <c r="N8" s="6" t="s">
        <v>85</v>
      </c>
      <c r="O8" s="6" t="s">
        <v>89</v>
      </c>
    </row>
    <row r="9" ht="224.25" customHeight="1">
      <c r="A9" s="6">
        <v>6.0</v>
      </c>
      <c r="B9" s="6" t="s">
        <v>137</v>
      </c>
      <c r="C9" s="6" t="s">
        <v>115</v>
      </c>
      <c r="D9" s="6" t="s">
        <v>116</v>
      </c>
      <c r="E9" s="6" t="s">
        <v>124</v>
      </c>
      <c r="F9" s="6" t="s">
        <v>144</v>
      </c>
      <c r="G9" s="6" t="s">
        <v>147</v>
      </c>
      <c r="H9" s="6" t="s">
        <v>75</v>
      </c>
      <c r="I9" s="6" t="s">
        <v>42</v>
      </c>
      <c r="J9" s="6">
        <v>1.0</v>
      </c>
      <c r="K9" s="6">
        <v>0.25</v>
      </c>
      <c r="L9" s="6" t="s">
        <v>150</v>
      </c>
      <c r="M9" s="6"/>
      <c r="N9" s="6" t="s">
        <v>85</v>
      </c>
      <c r="O9" s="6" t="s">
        <v>89</v>
      </c>
    </row>
    <row r="10" ht="210.75" customHeight="1">
      <c r="A10" s="6">
        <v>7.0</v>
      </c>
      <c r="B10" s="6" t="s">
        <v>153</v>
      </c>
      <c r="C10" s="6" t="s">
        <v>123</v>
      </c>
      <c r="D10" s="6" t="s">
        <v>125</v>
      </c>
      <c r="E10" s="6" t="s">
        <v>124</v>
      </c>
      <c r="F10" s="6" t="s">
        <v>156</v>
      </c>
      <c r="G10" s="6" t="s">
        <v>157</v>
      </c>
      <c r="H10" s="6" t="s">
        <v>75</v>
      </c>
      <c r="I10" s="6" t="s">
        <v>42</v>
      </c>
      <c r="J10" s="6">
        <v>1.0</v>
      </c>
      <c r="K10" s="6">
        <v>0.25</v>
      </c>
      <c r="L10" s="6" t="s">
        <v>159</v>
      </c>
      <c r="M10" s="6"/>
      <c r="N10" s="6" t="s">
        <v>85</v>
      </c>
      <c r="O10" s="6" t="s">
        <v>89</v>
      </c>
    </row>
    <row r="11" ht="171.0" customHeight="1">
      <c r="A11" s="6">
        <v>8.0</v>
      </c>
      <c r="B11" s="6" t="s">
        <v>160</v>
      </c>
      <c r="C11" s="6" t="s">
        <v>138</v>
      </c>
      <c r="D11" s="6" t="s">
        <v>139</v>
      </c>
      <c r="E11" s="6" t="s">
        <v>161</v>
      </c>
      <c r="F11" s="6" t="s">
        <v>162</v>
      </c>
      <c r="G11" s="6" t="s">
        <v>163</v>
      </c>
      <c r="H11" s="6" t="s">
        <v>75</v>
      </c>
      <c r="I11" s="6" t="s">
        <v>60</v>
      </c>
      <c r="J11" s="6">
        <v>1.0</v>
      </c>
      <c r="K11" s="6">
        <v>0.25</v>
      </c>
      <c r="L11" s="6" t="s">
        <v>167</v>
      </c>
      <c r="M11" s="6"/>
      <c r="N11" s="6" t="s">
        <v>85</v>
      </c>
      <c r="O11" s="6" t="s">
        <v>89</v>
      </c>
    </row>
    <row r="12" ht="198.0" customHeight="1">
      <c r="A12" s="6">
        <v>9.0</v>
      </c>
      <c r="B12" s="6" t="s">
        <v>170</v>
      </c>
      <c r="C12" s="6" t="s">
        <v>146</v>
      </c>
      <c r="D12" s="6" t="s">
        <v>148</v>
      </c>
      <c r="E12" s="6" t="s">
        <v>161</v>
      </c>
      <c r="F12" s="6" t="s">
        <v>171</v>
      </c>
      <c r="G12" s="6" t="s">
        <v>172</v>
      </c>
      <c r="H12" s="6" t="s">
        <v>75</v>
      </c>
      <c r="I12" s="6" t="s">
        <v>60</v>
      </c>
      <c r="J12" s="6">
        <v>1.0</v>
      </c>
      <c r="K12" s="6">
        <v>0.25</v>
      </c>
      <c r="L12" s="6" t="s">
        <v>173</v>
      </c>
      <c r="M12" s="6"/>
      <c r="N12" s="6" t="s">
        <v>85</v>
      </c>
      <c r="O12" s="6" t="s">
        <v>89</v>
      </c>
    </row>
    <row r="13" ht="198.0" customHeight="1">
      <c r="A13" s="6">
        <v>10.0</v>
      </c>
      <c r="B13" s="6" t="s">
        <v>178</v>
      </c>
      <c r="C13" s="6" t="s">
        <v>154</v>
      </c>
      <c r="D13" s="6" t="s">
        <v>155</v>
      </c>
      <c r="E13" s="6" t="s">
        <v>161</v>
      </c>
      <c r="F13" s="6" t="s">
        <v>179</v>
      </c>
      <c r="G13" s="6" t="s">
        <v>181</v>
      </c>
      <c r="H13" s="6" t="s">
        <v>75</v>
      </c>
      <c r="I13" s="6" t="s">
        <v>42</v>
      </c>
      <c r="J13" s="6">
        <v>1.0</v>
      </c>
      <c r="K13" s="6">
        <v>0.25</v>
      </c>
      <c r="L13" s="6" t="s">
        <v>184</v>
      </c>
      <c r="M13" s="6"/>
      <c r="N13" s="6" t="s">
        <v>85</v>
      </c>
      <c r="O13" s="6" t="s">
        <v>89</v>
      </c>
    </row>
    <row r="14" ht="237.0" customHeight="1">
      <c r="A14" s="6">
        <v>11.0</v>
      </c>
      <c r="B14" s="6" t="s">
        <v>185</v>
      </c>
      <c r="C14" s="6" t="s">
        <v>168</v>
      </c>
      <c r="D14" s="6" t="s">
        <v>169</v>
      </c>
      <c r="E14" s="6" t="s">
        <v>161</v>
      </c>
      <c r="F14" s="6" t="s">
        <v>186</v>
      </c>
      <c r="G14" s="6" t="s">
        <v>187</v>
      </c>
      <c r="H14" s="6" t="s">
        <v>75</v>
      </c>
      <c r="I14" s="6" t="s">
        <v>60</v>
      </c>
      <c r="J14" s="6">
        <v>1.0</v>
      </c>
      <c r="K14" s="6">
        <v>0.25</v>
      </c>
      <c r="L14" s="6" t="s">
        <v>190</v>
      </c>
      <c r="M14" s="6"/>
      <c r="N14" s="6" t="s">
        <v>85</v>
      </c>
      <c r="O14" s="6" t="s">
        <v>89</v>
      </c>
    </row>
    <row r="15" ht="158.25" customHeight="1">
      <c r="A15" s="6">
        <v>12.0</v>
      </c>
      <c r="B15" s="6" t="s">
        <v>194</v>
      </c>
      <c r="C15" s="6" t="s">
        <v>180</v>
      </c>
      <c r="D15" s="6" t="s">
        <v>182</v>
      </c>
      <c r="E15" s="6" t="s">
        <v>161</v>
      </c>
      <c r="F15" s="6" t="s">
        <v>195</v>
      </c>
      <c r="G15" s="6" t="s">
        <v>196</v>
      </c>
      <c r="H15" s="6" t="s">
        <v>75</v>
      </c>
      <c r="I15" s="6" t="s">
        <v>60</v>
      </c>
      <c r="J15" s="6">
        <v>1.0</v>
      </c>
      <c r="K15" s="6">
        <v>0.25</v>
      </c>
      <c r="L15" s="6" t="s">
        <v>199</v>
      </c>
      <c r="M15" s="6"/>
      <c r="N15" s="6" t="s">
        <v>85</v>
      </c>
      <c r="O15" s="6" t="s">
        <v>89</v>
      </c>
    </row>
    <row r="16" ht="198.0" customHeight="1">
      <c r="A16" s="6">
        <v>13.0</v>
      </c>
      <c r="B16" s="6" t="s">
        <v>201</v>
      </c>
      <c r="C16" s="6" t="s">
        <v>154</v>
      </c>
      <c r="D16" s="6" t="s">
        <v>155</v>
      </c>
      <c r="E16" s="6" t="s">
        <v>161</v>
      </c>
      <c r="F16" s="6" t="s">
        <v>179</v>
      </c>
      <c r="G16" s="6" t="s">
        <v>181</v>
      </c>
      <c r="H16" s="6" t="s">
        <v>75</v>
      </c>
      <c r="I16" s="6" t="s">
        <v>60</v>
      </c>
      <c r="J16" s="6">
        <v>1.0</v>
      </c>
      <c r="K16" s="6">
        <v>0.25</v>
      </c>
      <c r="L16" s="6" t="s">
        <v>202</v>
      </c>
      <c r="M16" s="6"/>
      <c r="N16" s="6" t="s">
        <v>85</v>
      </c>
      <c r="O16" s="6" t="s">
        <v>89</v>
      </c>
    </row>
    <row r="17" ht="158.25" customHeight="1">
      <c r="A17" s="6">
        <v>14.0</v>
      </c>
      <c r="B17" s="6" t="s">
        <v>205</v>
      </c>
      <c r="C17" s="6" t="s">
        <v>180</v>
      </c>
      <c r="D17" s="6" t="s">
        <v>182</v>
      </c>
      <c r="E17" s="6" t="s">
        <v>161</v>
      </c>
      <c r="F17" s="6" t="s">
        <v>195</v>
      </c>
      <c r="G17" s="6" t="s">
        <v>196</v>
      </c>
      <c r="H17" s="6" t="s">
        <v>75</v>
      </c>
      <c r="I17" s="6" t="s">
        <v>60</v>
      </c>
      <c r="J17" s="6">
        <v>1.0</v>
      </c>
      <c r="K17" s="6">
        <v>0.25</v>
      </c>
      <c r="L17" s="6" t="s">
        <v>208</v>
      </c>
      <c r="M17" s="6"/>
      <c r="N17" s="6" t="s">
        <v>85</v>
      </c>
      <c r="O17" s="6" t="s">
        <v>89</v>
      </c>
    </row>
    <row r="18" ht="184.5" customHeight="1">
      <c r="A18" s="6">
        <v>15.0</v>
      </c>
      <c r="B18" s="6" t="s">
        <v>209</v>
      </c>
      <c r="C18" s="6" t="s">
        <v>210</v>
      </c>
      <c r="D18" s="6" t="s">
        <v>211</v>
      </c>
      <c r="E18" s="6" t="s">
        <v>161</v>
      </c>
      <c r="F18" s="6" t="s">
        <v>212</v>
      </c>
      <c r="G18" s="6" t="s">
        <v>213</v>
      </c>
      <c r="H18" s="6" t="s">
        <v>75</v>
      </c>
      <c r="I18" s="6" t="s">
        <v>60</v>
      </c>
      <c r="J18" s="6">
        <v>1.0</v>
      </c>
      <c r="K18" s="6">
        <v>0.25</v>
      </c>
      <c r="L18" s="6" t="s">
        <v>214</v>
      </c>
      <c r="M18" s="6"/>
      <c r="N18" s="6" t="s">
        <v>85</v>
      </c>
      <c r="O18" s="6" t="s">
        <v>89</v>
      </c>
    </row>
    <row r="19" ht="237.0" customHeight="1">
      <c r="A19" s="6">
        <v>16.0</v>
      </c>
      <c r="B19" s="6" t="s">
        <v>215</v>
      </c>
      <c r="C19" s="6" t="s">
        <v>216</v>
      </c>
      <c r="D19" s="6" t="s">
        <v>217</v>
      </c>
      <c r="E19" s="6" t="s">
        <v>161</v>
      </c>
      <c r="F19" s="6" t="s">
        <v>218</v>
      </c>
      <c r="G19" s="6" t="s">
        <v>219</v>
      </c>
      <c r="H19" s="6" t="s">
        <v>75</v>
      </c>
      <c r="I19" s="6" t="s">
        <v>60</v>
      </c>
      <c r="J19" s="6">
        <v>1.0</v>
      </c>
      <c r="K19" s="6">
        <v>0.25</v>
      </c>
      <c r="L19" s="6" t="s">
        <v>223</v>
      </c>
      <c r="M19" s="6"/>
      <c r="N19" s="6" t="s">
        <v>85</v>
      </c>
      <c r="O19" s="6" t="s">
        <v>89</v>
      </c>
    </row>
    <row r="20" ht="132.0" customHeight="1">
      <c r="A20" s="6">
        <v>17.0</v>
      </c>
      <c r="B20" s="6" t="s">
        <v>224</v>
      </c>
      <c r="C20" s="6" t="s">
        <v>225</v>
      </c>
      <c r="D20" s="6" t="s">
        <v>226</v>
      </c>
      <c r="E20" s="6" t="s">
        <v>161</v>
      </c>
      <c r="F20" s="6" t="s">
        <v>227</v>
      </c>
      <c r="G20" s="6" t="s">
        <v>229</v>
      </c>
      <c r="H20" s="6" t="s">
        <v>75</v>
      </c>
      <c r="I20" s="6" t="s">
        <v>52</v>
      </c>
      <c r="J20" s="6">
        <v>1.0</v>
      </c>
      <c r="K20" s="6">
        <v>0.25</v>
      </c>
      <c r="L20" s="6" t="s">
        <v>232</v>
      </c>
      <c r="M20" s="6"/>
      <c r="N20" s="6" t="s">
        <v>85</v>
      </c>
      <c r="O20" s="6" t="s">
        <v>89</v>
      </c>
    </row>
    <row r="21" ht="118.5" customHeight="1">
      <c r="A21" s="6">
        <v>18.0</v>
      </c>
      <c r="B21" s="6" t="s">
        <v>233</v>
      </c>
      <c r="C21" s="6" t="s">
        <v>234</v>
      </c>
      <c r="D21" s="6" t="s">
        <v>235</v>
      </c>
      <c r="E21" s="6" t="s">
        <v>236</v>
      </c>
      <c r="F21" s="6" t="s">
        <v>237</v>
      </c>
      <c r="G21" s="6" t="s">
        <v>239</v>
      </c>
      <c r="H21" s="6" t="s">
        <v>75</v>
      </c>
      <c r="I21" s="6" t="s">
        <v>42</v>
      </c>
      <c r="J21" s="6">
        <v>3.0</v>
      </c>
      <c r="K21" s="6">
        <v>0.25</v>
      </c>
      <c r="L21" s="6" t="s">
        <v>241</v>
      </c>
      <c r="M21" s="6"/>
      <c r="N21" s="6" t="s">
        <v>85</v>
      </c>
      <c r="O21" s="6" t="s">
        <v>89</v>
      </c>
    </row>
    <row r="22" ht="198.0" customHeight="1">
      <c r="A22" s="6">
        <v>19.0</v>
      </c>
      <c r="B22" s="6" t="s">
        <v>243</v>
      </c>
      <c r="C22" s="6" t="s">
        <v>244</v>
      </c>
      <c r="D22" s="6" t="s">
        <v>245</v>
      </c>
      <c r="E22" s="6" t="s">
        <v>247</v>
      </c>
      <c r="F22" s="6" t="s">
        <v>248</v>
      </c>
      <c r="G22" s="6" t="s">
        <v>249</v>
      </c>
      <c r="H22" s="6" t="s">
        <v>75</v>
      </c>
      <c r="I22" s="6" t="s">
        <v>42</v>
      </c>
      <c r="J22" s="6">
        <v>1.0</v>
      </c>
      <c r="K22" s="6">
        <v>0.25</v>
      </c>
      <c r="L22" s="6" t="s">
        <v>251</v>
      </c>
      <c r="M22" s="6"/>
      <c r="N22" s="6" t="s">
        <v>85</v>
      </c>
      <c r="O22" s="6" t="s">
        <v>89</v>
      </c>
    </row>
    <row r="23" ht="198.0" customHeight="1">
      <c r="A23" s="6">
        <v>20.0</v>
      </c>
      <c r="B23" s="6" t="s">
        <v>252</v>
      </c>
      <c r="C23" s="6" t="s">
        <v>253</v>
      </c>
      <c r="D23" s="6" t="s">
        <v>254</v>
      </c>
      <c r="E23" s="6" t="s">
        <v>247</v>
      </c>
      <c r="F23" s="6" t="s">
        <v>255</v>
      </c>
      <c r="G23" s="6" t="s">
        <v>256</v>
      </c>
      <c r="H23" s="6" t="s">
        <v>75</v>
      </c>
      <c r="I23" s="6" t="s">
        <v>42</v>
      </c>
      <c r="J23" s="6">
        <v>1.0</v>
      </c>
      <c r="K23" s="6">
        <v>0.25</v>
      </c>
      <c r="L23" s="6" t="s">
        <v>259</v>
      </c>
      <c r="M23" s="6"/>
      <c r="N23" s="6" t="s">
        <v>85</v>
      </c>
      <c r="O23" s="6" t="s">
        <v>89</v>
      </c>
    </row>
    <row r="24" ht="198.0" customHeight="1">
      <c r="A24" s="6">
        <v>21.0</v>
      </c>
      <c r="B24" s="6" t="s">
        <v>261</v>
      </c>
      <c r="C24" s="6" t="s">
        <v>244</v>
      </c>
      <c r="D24" s="6" t="s">
        <v>245</v>
      </c>
      <c r="E24" s="6" t="s">
        <v>247</v>
      </c>
      <c r="F24" s="6" t="s">
        <v>248</v>
      </c>
      <c r="G24" s="6" t="s">
        <v>249</v>
      </c>
      <c r="H24" s="6" t="s">
        <v>75</v>
      </c>
      <c r="I24" s="6" t="s">
        <v>52</v>
      </c>
      <c r="J24" s="6">
        <v>1.0</v>
      </c>
      <c r="K24" s="6">
        <v>0.25</v>
      </c>
      <c r="L24" s="6" t="s">
        <v>262</v>
      </c>
      <c r="M24" s="6"/>
      <c r="N24" s="6" t="s">
        <v>85</v>
      </c>
      <c r="O24" s="6" t="s">
        <v>89</v>
      </c>
    </row>
    <row r="25" ht="118.5" customHeight="1">
      <c r="A25" s="6">
        <v>22.0</v>
      </c>
      <c r="B25" s="6" t="s">
        <v>264</v>
      </c>
      <c r="C25" s="6" t="s">
        <v>106</v>
      </c>
      <c r="D25" s="6" t="s">
        <v>108</v>
      </c>
      <c r="E25" s="6" t="s">
        <v>124</v>
      </c>
      <c r="F25" s="6" t="s">
        <v>126</v>
      </c>
      <c r="G25" s="6" t="s">
        <v>127</v>
      </c>
      <c r="H25" s="6" t="s">
        <v>268</v>
      </c>
      <c r="I25" s="6" t="s">
        <v>52</v>
      </c>
      <c r="J25" s="6">
        <v>1.0</v>
      </c>
      <c r="K25" s="6">
        <v>1.0</v>
      </c>
      <c r="L25" s="6" t="s">
        <v>269</v>
      </c>
      <c r="M25" s="6" t="s">
        <v>270</v>
      </c>
      <c r="N25" s="6" t="s">
        <v>85</v>
      </c>
      <c r="O25" s="6" t="s">
        <v>89</v>
      </c>
    </row>
    <row r="26" ht="250.5" customHeight="1">
      <c r="A26" s="6">
        <v>23.0</v>
      </c>
      <c r="B26" s="6" t="s">
        <v>273</v>
      </c>
      <c r="C26" s="6" t="s">
        <v>274</v>
      </c>
      <c r="D26" s="6" t="s">
        <v>276</v>
      </c>
      <c r="E26" s="6" t="s">
        <v>161</v>
      </c>
      <c r="F26" s="6" t="s">
        <v>277</v>
      </c>
      <c r="G26" s="6" t="s">
        <v>278</v>
      </c>
      <c r="H26" s="6" t="s">
        <v>268</v>
      </c>
      <c r="I26" s="6" t="s">
        <v>60</v>
      </c>
      <c r="J26" s="6">
        <v>1.0</v>
      </c>
      <c r="K26" s="6">
        <v>1.0</v>
      </c>
      <c r="L26" s="6" t="s">
        <v>280</v>
      </c>
      <c r="M26" s="6" t="s">
        <v>282</v>
      </c>
      <c r="N26" s="6" t="s">
        <v>85</v>
      </c>
      <c r="O26" s="6" t="s">
        <v>89</v>
      </c>
    </row>
    <row r="27" ht="78.75" customHeight="1">
      <c r="A27" s="6">
        <v>24.0</v>
      </c>
      <c r="B27" s="6" t="s">
        <v>285</v>
      </c>
      <c r="C27" s="6" t="s">
        <v>286</v>
      </c>
      <c r="D27" s="6" t="s">
        <v>287</v>
      </c>
      <c r="E27" s="6" t="s">
        <v>161</v>
      </c>
      <c r="F27" s="6" t="s">
        <v>288</v>
      </c>
      <c r="G27" s="6" t="s">
        <v>290</v>
      </c>
      <c r="H27" s="6" t="s">
        <v>268</v>
      </c>
      <c r="I27" s="6" t="s">
        <v>52</v>
      </c>
      <c r="J27" s="6">
        <v>1.0</v>
      </c>
      <c r="K27" s="6">
        <v>1.0</v>
      </c>
      <c r="L27" s="6" t="s">
        <v>293</v>
      </c>
      <c r="M27" s="6" t="s">
        <v>295</v>
      </c>
      <c r="N27" s="6" t="s">
        <v>85</v>
      </c>
      <c r="O27" s="6" t="s">
        <v>89</v>
      </c>
    </row>
    <row r="28" ht="118.5" customHeight="1">
      <c r="A28" s="6">
        <v>25.0</v>
      </c>
      <c r="B28" s="6" t="s">
        <v>296</v>
      </c>
      <c r="C28" s="6" t="s">
        <v>297</v>
      </c>
      <c r="D28" s="6" t="s">
        <v>298</v>
      </c>
      <c r="E28" s="6" t="s">
        <v>161</v>
      </c>
      <c r="F28" s="6" t="s">
        <v>300</v>
      </c>
      <c r="G28" s="6" t="s">
        <v>302</v>
      </c>
      <c r="H28" s="6" t="s">
        <v>268</v>
      </c>
      <c r="I28" s="6" t="s">
        <v>60</v>
      </c>
      <c r="J28" s="6">
        <v>1.0</v>
      </c>
      <c r="K28" s="6">
        <v>1.0</v>
      </c>
      <c r="L28" s="6" t="s">
        <v>304</v>
      </c>
      <c r="M28" s="6" t="s">
        <v>305</v>
      </c>
      <c r="N28" s="6" t="s">
        <v>85</v>
      </c>
      <c r="O28" s="6" t="s">
        <v>89</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O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28.0"/>
    <col customWidth="1" min="3" max="3" width="9.0"/>
    <col customWidth="1" min="4" max="4" width="18.0"/>
    <col customWidth="1" min="5" max="5" width="12.0"/>
    <col customWidth="1" min="6" max="6" width="24.0"/>
    <col customWidth="1" min="7" max="7" width="28.0"/>
    <col customWidth="1" min="8" max="8" width="20.0"/>
    <col customWidth="1" min="9" max="9" width="23.0"/>
    <col customWidth="1" min="10" max="10" width="12.0"/>
    <col customWidth="1" min="11" max="11" width="16.0"/>
    <col customWidth="1" min="12" max="12" width="25.0"/>
    <col customWidth="1" min="13" max="13" width="10.0"/>
    <col customWidth="1" min="14" max="14" width="18.0"/>
    <col customWidth="1" min="15" max="15" width="10.0"/>
    <col customWidth="1" min="16" max="16" width="60.0"/>
    <col customWidth="1" min="17" max="17" width="28.0"/>
    <col customWidth="1" min="18" max="26" width="8.63"/>
  </cols>
  <sheetData>
    <row r="1" ht="18.0" customHeight="1">
      <c r="A1" s="1" t="s">
        <v>2</v>
      </c>
    </row>
    <row r="3" ht="39.0" customHeight="1">
      <c r="A3" s="3" t="s">
        <v>6</v>
      </c>
      <c r="B3" s="4" t="s">
        <v>10</v>
      </c>
      <c r="C3" s="4" t="s">
        <v>14</v>
      </c>
      <c r="D3" s="4" t="s">
        <v>16</v>
      </c>
      <c r="E3" s="4" t="s">
        <v>20</v>
      </c>
      <c r="F3" s="4" t="s">
        <v>11</v>
      </c>
      <c r="G3" s="4" t="s">
        <v>13</v>
      </c>
      <c r="H3" s="4" t="s">
        <v>25</v>
      </c>
      <c r="I3" s="4" t="s">
        <v>30</v>
      </c>
      <c r="J3" s="4" t="s">
        <v>34</v>
      </c>
      <c r="K3" s="4" t="s">
        <v>37</v>
      </c>
      <c r="L3" s="4" t="s">
        <v>41</v>
      </c>
      <c r="M3" s="4" t="s">
        <v>43</v>
      </c>
      <c r="N3" s="4" t="s">
        <v>45</v>
      </c>
      <c r="O3" s="4" t="s">
        <v>46</v>
      </c>
      <c r="P3" s="4" t="s">
        <v>48</v>
      </c>
      <c r="Q3" s="5" t="s">
        <v>53</v>
      </c>
    </row>
    <row r="4" ht="118.5" customHeight="1">
      <c r="A4" s="6">
        <v>1.0</v>
      </c>
      <c r="B4" s="6" t="s">
        <v>59</v>
      </c>
      <c r="C4" s="6">
        <v>1.0</v>
      </c>
      <c r="D4" s="6" t="s">
        <v>62</v>
      </c>
      <c r="E4" s="6" t="s">
        <v>64</v>
      </c>
      <c r="F4" s="6" t="s">
        <v>63</v>
      </c>
      <c r="G4" s="6" t="s">
        <v>66</v>
      </c>
      <c r="H4" s="6"/>
      <c r="I4" s="6" t="s">
        <v>69</v>
      </c>
      <c r="J4" s="6" t="s">
        <v>70</v>
      </c>
      <c r="K4" s="6" t="s">
        <v>71</v>
      </c>
      <c r="L4" s="6" t="s">
        <v>73</v>
      </c>
      <c r="M4" s="6" t="b">
        <v>1</v>
      </c>
      <c r="N4" s="6">
        <v>90.0</v>
      </c>
      <c r="O4" s="6">
        <v>3.0</v>
      </c>
      <c r="P4" s="6" t="s">
        <v>79</v>
      </c>
      <c r="Q4" s="6" t="s">
        <v>81</v>
      </c>
    </row>
    <row r="5" ht="92.25" customHeight="1">
      <c r="A5" s="6">
        <v>2.0</v>
      </c>
      <c r="B5" s="6" t="s">
        <v>83</v>
      </c>
      <c r="C5" s="6">
        <v>1.0</v>
      </c>
      <c r="D5" s="6" t="s">
        <v>62</v>
      </c>
      <c r="E5" s="6" t="s">
        <v>86</v>
      </c>
      <c r="F5" s="6" t="s">
        <v>63</v>
      </c>
      <c r="G5" s="6" t="s">
        <v>88</v>
      </c>
      <c r="H5" s="6"/>
      <c r="I5" s="6" t="s">
        <v>69</v>
      </c>
      <c r="J5" s="6" t="s">
        <v>70</v>
      </c>
      <c r="K5" s="6" t="s">
        <v>71</v>
      </c>
      <c r="L5" s="6" t="s">
        <v>73</v>
      </c>
      <c r="M5" s="6" t="b">
        <v>1</v>
      </c>
      <c r="N5" s="6">
        <v>45.0</v>
      </c>
      <c r="O5" s="6">
        <v>1.0</v>
      </c>
      <c r="P5" s="6" t="s">
        <v>91</v>
      </c>
      <c r="Q5" s="6" t="s">
        <v>92</v>
      </c>
    </row>
    <row r="6" ht="92.25" customHeight="1">
      <c r="A6" s="6">
        <v>3.0</v>
      </c>
      <c r="B6" s="6" t="s">
        <v>93</v>
      </c>
      <c r="C6" s="6">
        <v>1.0</v>
      </c>
      <c r="D6" s="6" t="s">
        <v>62</v>
      </c>
      <c r="E6" s="6" t="s">
        <v>86</v>
      </c>
      <c r="F6" s="6" t="s">
        <v>63</v>
      </c>
      <c r="G6" s="6" t="s">
        <v>88</v>
      </c>
      <c r="H6" s="6"/>
      <c r="I6" s="6" t="s">
        <v>69</v>
      </c>
      <c r="J6" s="6" t="s">
        <v>95</v>
      </c>
      <c r="K6" s="6" t="s">
        <v>71</v>
      </c>
      <c r="L6" s="6" t="s">
        <v>73</v>
      </c>
      <c r="M6" s="6" t="b">
        <v>1</v>
      </c>
      <c r="N6" s="6">
        <v>45.0</v>
      </c>
      <c r="O6" s="6">
        <v>1.0</v>
      </c>
      <c r="P6" s="6" t="s">
        <v>97</v>
      </c>
      <c r="Q6" s="6" t="s">
        <v>98</v>
      </c>
    </row>
    <row r="7" ht="408.75" customHeight="1">
      <c r="A7" s="6">
        <v>4.0</v>
      </c>
      <c r="B7" s="6" t="s">
        <v>99</v>
      </c>
      <c r="C7" s="6">
        <v>1.0</v>
      </c>
      <c r="D7" s="6" t="s">
        <v>62</v>
      </c>
      <c r="E7" s="6" t="s">
        <v>64</v>
      </c>
      <c r="F7" s="6" t="s">
        <v>63</v>
      </c>
      <c r="G7" s="6" t="s">
        <v>101</v>
      </c>
      <c r="H7" s="6"/>
      <c r="I7" s="6" t="s">
        <v>69</v>
      </c>
      <c r="J7" s="6" t="s">
        <v>70</v>
      </c>
      <c r="K7" s="6" t="s">
        <v>71</v>
      </c>
      <c r="L7" s="6" t="s">
        <v>73</v>
      </c>
      <c r="M7" s="6" t="b">
        <v>1</v>
      </c>
      <c r="N7" s="6">
        <v>90.0</v>
      </c>
      <c r="O7" s="6">
        <v>3.0</v>
      </c>
      <c r="P7" s="6" t="s">
        <v>102</v>
      </c>
      <c r="Q7" s="6" t="s">
        <v>103</v>
      </c>
    </row>
    <row r="8" ht="132.0" customHeight="1">
      <c r="A8" s="6">
        <v>5.0</v>
      </c>
      <c r="B8" s="6" t="s">
        <v>105</v>
      </c>
      <c r="C8" s="6">
        <v>1.0</v>
      </c>
      <c r="D8" s="6" t="s">
        <v>62</v>
      </c>
      <c r="E8" s="6" t="s">
        <v>86</v>
      </c>
      <c r="F8" s="6" t="s">
        <v>106</v>
      </c>
      <c r="G8" s="6" t="s">
        <v>108</v>
      </c>
      <c r="H8" s="6"/>
      <c r="I8" s="6" t="s">
        <v>69</v>
      </c>
      <c r="J8" s="6" t="s">
        <v>109</v>
      </c>
      <c r="K8" s="6" t="s">
        <v>71</v>
      </c>
      <c r="L8" s="6" t="s">
        <v>73</v>
      </c>
      <c r="M8" s="6" t="b">
        <v>1</v>
      </c>
      <c r="N8" s="6">
        <v>45.0</v>
      </c>
      <c r="O8" s="6">
        <v>1.0</v>
      </c>
      <c r="P8" s="6" t="s">
        <v>111</v>
      </c>
      <c r="Q8" s="6" t="s">
        <v>112</v>
      </c>
    </row>
    <row r="9" ht="52.5" customHeight="1">
      <c r="A9" s="6">
        <v>6.0</v>
      </c>
      <c r="B9" s="6" t="s">
        <v>113</v>
      </c>
      <c r="C9" s="6">
        <v>1.0</v>
      </c>
      <c r="D9" s="6" t="s">
        <v>62</v>
      </c>
      <c r="E9" s="6" t="s">
        <v>86</v>
      </c>
      <c r="F9" s="6" t="s">
        <v>115</v>
      </c>
      <c r="G9" s="6" t="s">
        <v>116</v>
      </c>
      <c r="H9" s="6"/>
      <c r="I9" s="6" t="s">
        <v>69</v>
      </c>
      <c r="J9" s="6" t="s">
        <v>95</v>
      </c>
      <c r="K9" s="6" t="s">
        <v>71</v>
      </c>
      <c r="L9" s="6" t="s">
        <v>73</v>
      </c>
      <c r="M9" s="6" t="b">
        <v>1</v>
      </c>
      <c r="N9" s="6">
        <v>45.0</v>
      </c>
      <c r="O9" s="6">
        <v>1.0</v>
      </c>
      <c r="P9" s="6" t="s">
        <v>118</v>
      </c>
      <c r="Q9" s="6" t="s">
        <v>119</v>
      </c>
    </row>
    <row r="10" ht="118.5" customHeight="1">
      <c r="A10" s="6">
        <v>7.0</v>
      </c>
      <c r="B10" s="6" t="s">
        <v>122</v>
      </c>
      <c r="C10" s="6">
        <v>1.0</v>
      </c>
      <c r="D10" s="6" t="s">
        <v>62</v>
      </c>
      <c r="E10" s="6" t="s">
        <v>86</v>
      </c>
      <c r="F10" s="6" t="s">
        <v>123</v>
      </c>
      <c r="G10" s="6" t="s">
        <v>125</v>
      </c>
      <c r="H10" s="6"/>
      <c r="I10" s="6" t="s">
        <v>69</v>
      </c>
      <c r="J10" s="6" t="s">
        <v>95</v>
      </c>
      <c r="K10" s="6" t="s">
        <v>71</v>
      </c>
      <c r="L10" s="6" t="s">
        <v>73</v>
      </c>
      <c r="M10" s="6" t="b">
        <v>1</v>
      </c>
      <c r="N10" s="6">
        <v>45.0</v>
      </c>
      <c r="O10" s="6">
        <v>1.0</v>
      </c>
      <c r="P10" s="6" t="s">
        <v>128</v>
      </c>
      <c r="Q10" s="6" t="s">
        <v>129</v>
      </c>
    </row>
    <row r="11" ht="92.25" customHeight="1">
      <c r="A11" s="6">
        <v>8.0</v>
      </c>
      <c r="B11" s="6" t="s">
        <v>130</v>
      </c>
      <c r="C11" s="6">
        <v>1.0</v>
      </c>
      <c r="D11" s="6" t="s">
        <v>62</v>
      </c>
      <c r="E11" s="6" t="s">
        <v>86</v>
      </c>
      <c r="F11" s="6" t="s">
        <v>106</v>
      </c>
      <c r="G11" s="6" t="s">
        <v>108</v>
      </c>
      <c r="H11" s="6" t="s">
        <v>132</v>
      </c>
      <c r="I11" s="6" t="s">
        <v>69</v>
      </c>
      <c r="J11" s="6" t="s">
        <v>70</v>
      </c>
      <c r="K11" s="6" t="s">
        <v>71</v>
      </c>
      <c r="L11" s="6" t="s">
        <v>73</v>
      </c>
      <c r="M11" s="6" t="b">
        <v>1</v>
      </c>
      <c r="N11" s="6">
        <v>45.0</v>
      </c>
      <c r="O11" s="6">
        <v>1.0</v>
      </c>
      <c r="P11" s="6" t="s">
        <v>133</v>
      </c>
      <c r="Q11" s="6" t="s">
        <v>134</v>
      </c>
    </row>
    <row r="12" ht="132.0" customHeight="1">
      <c r="A12" s="6">
        <v>9.0</v>
      </c>
      <c r="B12" s="6" t="s">
        <v>136</v>
      </c>
      <c r="C12" s="6">
        <v>1.0</v>
      </c>
      <c r="D12" s="6" t="s">
        <v>62</v>
      </c>
      <c r="E12" s="6" t="s">
        <v>64</v>
      </c>
      <c r="F12" s="6" t="s">
        <v>138</v>
      </c>
      <c r="G12" s="6" t="s">
        <v>139</v>
      </c>
      <c r="H12" s="6"/>
      <c r="I12" s="6" t="s">
        <v>69</v>
      </c>
      <c r="J12" s="6" t="s">
        <v>70</v>
      </c>
      <c r="K12" s="6" t="s">
        <v>71</v>
      </c>
      <c r="L12" s="6" t="s">
        <v>73</v>
      </c>
      <c r="M12" s="6" t="b">
        <v>1</v>
      </c>
      <c r="N12" s="6">
        <v>90.0</v>
      </c>
      <c r="O12" s="6">
        <v>3.0</v>
      </c>
      <c r="P12" s="6" t="s">
        <v>142</v>
      </c>
      <c r="Q12" s="6" t="s">
        <v>143</v>
      </c>
    </row>
    <row r="13" ht="158.25" customHeight="1">
      <c r="A13" s="6">
        <v>10.0</v>
      </c>
      <c r="B13" s="6" t="s">
        <v>145</v>
      </c>
      <c r="C13" s="6">
        <v>1.0</v>
      </c>
      <c r="D13" s="6" t="s">
        <v>62</v>
      </c>
      <c r="E13" s="6" t="s">
        <v>64</v>
      </c>
      <c r="F13" s="6" t="s">
        <v>146</v>
      </c>
      <c r="G13" s="6" t="s">
        <v>148</v>
      </c>
      <c r="H13" s="6"/>
      <c r="I13" s="6" t="s">
        <v>69</v>
      </c>
      <c r="J13" s="6" t="s">
        <v>95</v>
      </c>
      <c r="K13" s="6" t="s">
        <v>71</v>
      </c>
      <c r="L13" s="6" t="s">
        <v>73</v>
      </c>
      <c r="M13" s="6" t="b">
        <v>1</v>
      </c>
      <c r="N13" s="6">
        <v>90.0</v>
      </c>
      <c r="O13" s="6">
        <v>3.0</v>
      </c>
      <c r="P13" s="6" t="s">
        <v>149</v>
      </c>
      <c r="Q13" s="6" t="s">
        <v>151</v>
      </c>
    </row>
    <row r="14" ht="158.25" customHeight="1">
      <c r="A14" s="6">
        <v>11.0</v>
      </c>
      <c r="B14" s="6" t="s">
        <v>152</v>
      </c>
      <c r="C14" s="6">
        <v>1.0</v>
      </c>
      <c r="D14" s="6" t="s">
        <v>62</v>
      </c>
      <c r="E14" s="6" t="s">
        <v>86</v>
      </c>
      <c r="F14" s="6" t="s">
        <v>154</v>
      </c>
      <c r="G14" s="6" t="s">
        <v>155</v>
      </c>
      <c r="H14" s="6"/>
      <c r="I14" s="6" t="s">
        <v>69</v>
      </c>
      <c r="J14" s="6" t="s">
        <v>95</v>
      </c>
      <c r="K14" s="6" t="s">
        <v>71</v>
      </c>
      <c r="L14" s="6" t="s">
        <v>73</v>
      </c>
      <c r="M14" s="6" t="b">
        <v>1</v>
      </c>
      <c r="N14" s="6">
        <v>45.0</v>
      </c>
      <c r="O14" s="6">
        <v>1.0</v>
      </c>
      <c r="P14" s="6" t="s">
        <v>164</v>
      </c>
      <c r="Q14" s="6" t="s">
        <v>165</v>
      </c>
    </row>
    <row r="15" ht="224.25" customHeight="1">
      <c r="A15" s="6">
        <v>12.0</v>
      </c>
      <c r="B15" s="6" t="s">
        <v>166</v>
      </c>
      <c r="C15" s="6">
        <v>1.0</v>
      </c>
      <c r="D15" s="6" t="s">
        <v>62</v>
      </c>
      <c r="E15" s="6" t="s">
        <v>64</v>
      </c>
      <c r="F15" s="6" t="s">
        <v>168</v>
      </c>
      <c r="G15" s="6" t="s">
        <v>169</v>
      </c>
      <c r="H15" s="6"/>
      <c r="I15" s="6" t="s">
        <v>69</v>
      </c>
      <c r="J15" s="6" t="s">
        <v>95</v>
      </c>
      <c r="K15" s="6" t="s">
        <v>71</v>
      </c>
      <c r="L15" s="6" t="s">
        <v>73</v>
      </c>
      <c r="M15" s="6" t="b">
        <v>1</v>
      </c>
      <c r="N15" s="6">
        <v>90.0</v>
      </c>
      <c r="O15" s="6">
        <v>3.0</v>
      </c>
      <c r="P15" s="6" t="s">
        <v>174</v>
      </c>
      <c r="Q15" s="6" t="s">
        <v>175</v>
      </c>
    </row>
    <row r="16" ht="184.5" customHeight="1">
      <c r="A16" s="6">
        <v>13.0</v>
      </c>
      <c r="B16" s="6" t="s">
        <v>177</v>
      </c>
      <c r="C16" s="6">
        <v>1.0</v>
      </c>
      <c r="D16" s="6" t="s">
        <v>62</v>
      </c>
      <c r="E16" s="6" t="s">
        <v>64</v>
      </c>
      <c r="F16" s="6" t="s">
        <v>180</v>
      </c>
      <c r="G16" s="6" t="s">
        <v>182</v>
      </c>
      <c r="H16" s="6"/>
      <c r="I16" s="6" t="s">
        <v>69</v>
      </c>
      <c r="J16" s="6" t="s">
        <v>183</v>
      </c>
      <c r="K16" s="6" t="s">
        <v>71</v>
      </c>
      <c r="L16" s="6" t="s">
        <v>73</v>
      </c>
      <c r="M16" s="6" t="b">
        <v>1</v>
      </c>
      <c r="N16" s="6">
        <v>90.0</v>
      </c>
      <c r="O16" s="6">
        <v>3.0</v>
      </c>
      <c r="P16" s="6" t="s">
        <v>188</v>
      </c>
      <c r="Q16" s="6" t="s">
        <v>189</v>
      </c>
    </row>
    <row r="17" ht="132.0" customHeight="1">
      <c r="A17" s="6">
        <v>14.0</v>
      </c>
      <c r="B17" s="6" t="s">
        <v>191</v>
      </c>
      <c r="C17" s="6">
        <v>1.0</v>
      </c>
      <c r="D17" s="6" t="s">
        <v>62</v>
      </c>
      <c r="E17" s="6" t="s">
        <v>64</v>
      </c>
      <c r="F17" s="6" t="s">
        <v>154</v>
      </c>
      <c r="G17" s="6" t="s">
        <v>155</v>
      </c>
      <c r="H17" s="6" t="s">
        <v>192</v>
      </c>
      <c r="I17" s="6" t="s">
        <v>69</v>
      </c>
      <c r="J17" s="6" t="s">
        <v>95</v>
      </c>
      <c r="K17" s="6" t="s">
        <v>71</v>
      </c>
      <c r="L17" s="6" t="s">
        <v>73</v>
      </c>
      <c r="M17" s="6" t="b">
        <v>1</v>
      </c>
      <c r="N17" s="6">
        <v>90.0</v>
      </c>
      <c r="O17" s="6">
        <v>3.0</v>
      </c>
      <c r="P17" s="6" t="s">
        <v>197</v>
      </c>
      <c r="Q17" s="6" t="s">
        <v>198</v>
      </c>
    </row>
    <row r="18" ht="158.25" customHeight="1">
      <c r="A18" s="6">
        <v>15.0</v>
      </c>
      <c r="B18" s="6" t="s">
        <v>200</v>
      </c>
      <c r="C18" s="6">
        <v>1.0</v>
      </c>
      <c r="D18" s="6" t="s">
        <v>62</v>
      </c>
      <c r="E18" s="6" t="s">
        <v>64</v>
      </c>
      <c r="F18" s="6" t="s">
        <v>180</v>
      </c>
      <c r="G18" s="6" t="s">
        <v>182</v>
      </c>
      <c r="H18" s="6"/>
      <c r="I18" s="6" t="s">
        <v>69</v>
      </c>
      <c r="J18" s="6" t="s">
        <v>95</v>
      </c>
      <c r="K18" s="6" t="s">
        <v>71</v>
      </c>
      <c r="L18" s="6" t="s">
        <v>73</v>
      </c>
      <c r="M18" s="6" t="b">
        <v>1</v>
      </c>
      <c r="N18" s="6">
        <v>90.0</v>
      </c>
      <c r="O18" s="6">
        <v>3.0</v>
      </c>
      <c r="P18" s="6" t="s">
        <v>203</v>
      </c>
      <c r="Q18" s="6" t="s">
        <v>204</v>
      </c>
    </row>
    <row r="19" ht="540.75" customHeight="1">
      <c r="A19" s="6">
        <v>16.0</v>
      </c>
      <c r="B19" s="6" t="s">
        <v>206</v>
      </c>
      <c r="C19" s="6">
        <v>1.0</v>
      </c>
      <c r="D19" s="6" t="s">
        <v>62</v>
      </c>
      <c r="E19" s="6" t="s">
        <v>64</v>
      </c>
      <c r="F19" s="6" t="s">
        <v>210</v>
      </c>
      <c r="G19" s="6" t="s">
        <v>211</v>
      </c>
      <c r="H19" s="6"/>
      <c r="I19" s="6" t="s">
        <v>69</v>
      </c>
      <c r="J19" s="6" t="s">
        <v>95</v>
      </c>
      <c r="K19" s="6" t="s">
        <v>71</v>
      </c>
      <c r="L19" s="6" t="s">
        <v>73</v>
      </c>
      <c r="M19" s="6" t="b">
        <v>1</v>
      </c>
      <c r="N19" s="6">
        <v>90.0</v>
      </c>
      <c r="O19" s="6">
        <v>3.0</v>
      </c>
      <c r="P19" s="6" t="s">
        <v>220</v>
      </c>
      <c r="Q19" s="6" t="s">
        <v>221</v>
      </c>
    </row>
    <row r="20" ht="448.5" customHeight="1">
      <c r="A20" s="6">
        <v>17.0</v>
      </c>
      <c r="B20" s="6" t="s">
        <v>222</v>
      </c>
      <c r="C20" s="6">
        <v>1.0</v>
      </c>
      <c r="D20" s="6" t="s">
        <v>62</v>
      </c>
      <c r="E20" s="6" t="s">
        <v>64</v>
      </c>
      <c r="F20" s="6" t="s">
        <v>216</v>
      </c>
      <c r="G20" s="6" t="s">
        <v>217</v>
      </c>
      <c r="H20" s="6" t="s">
        <v>230</v>
      </c>
      <c r="I20" s="6" t="s">
        <v>69</v>
      </c>
      <c r="J20" s="6" t="s">
        <v>183</v>
      </c>
      <c r="K20" s="6" t="s">
        <v>71</v>
      </c>
      <c r="L20" s="6" t="s">
        <v>73</v>
      </c>
      <c r="M20" s="6" t="b">
        <v>1</v>
      </c>
      <c r="N20" s="6">
        <v>90.0</v>
      </c>
      <c r="O20" s="6">
        <v>3.0</v>
      </c>
      <c r="P20" s="6" t="s">
        <v>238</v>
      </c>
      <c r="Q20" s="6" t="s">
        <v>240</v>
      </c>
    </row>
    <row r="21" ht="408.75" customHeight="1">
      <c r="A21" s="6">
        <v>18.0</v>
      </c>
      <c r="B21" s="6" t="s">
        <v>242</v>
      </c>
      <c r="C21" s="6">
        <v>1.0</v>
      </c>
      <c r="D21" s="6" t="s">
        <v>62</v>
      </c>
      <c r="E21" s="6" t="s">
        <v>246</v>
      </c>
      <c r="F21" s="6" t="s">
        <v>225</v>
      </c>
      <c r="G21" s="6" t="s">
        <v>226</v>
      </c>
      <c r="H21" s="6" t="s">
        <v>250</v>
      </c>
      <c r="I21" s="6" t="s">
        <v>69</v>
      </c>
      <c r="J21" s="6" t="s">
        <v>183</v>
      </c>
      <c r="K21" s="6" t="s">
        <v>71</v>
      </c>
      <c r="L21" s="6" t="s">
        <v>73</v>
      </c>
      <c r="M21" s="6" t="b">
        <v>1</v>
      </c>
      <c r="N21" s="6">
        <v>90.0</v>
      </c>
      <c r="O21" s="6">
        <v>3.0</v>
      </c>
      <c r="P21" s="6" t="s">
        <v>257</v>
      </c>
      <c r="Q21" s="6" t="s">
        <v>258</v>
      </c>
    </row>
    <row r="22" ht="132.0" customHeight="1">
      <c r="A22" s="6">
        <v>19.0</v>
      </c>
      <c r="B22" s="6" t="s">
        <v>260</v>
      </c>
      <c r="C22" s="6">
        <v>1.0</v>
      </c>
      <c r="D22" s="6" t="s">
        <v>62</v>
      </c>
      <c r="E22" s="6" t="s">
        <v>86</v>
      </c>
      <c r="F22" s="6" t="s">
        <v>234</v>
      </c>
      <c r="G22" s="6" t="s">
        <v>235</v>
      </c>
      <c r="H22" s="6"/>
      <c r="I22" s="6" t="s">
        <v>69</v>
      </c>
      <c r="J22" s="6" t="s">
        <v>70</v>
      </c>
      <c r="K22" s="6" t="s">
        <v>71</v>
      </c>
      <c r="L22" s="6" t="s">
        <v>73</v>
      </c>
      <c r="M22" s="6" t="b">
        <v>1</v>
      </c>
      <c r="N22" s="6">
        <v>45.0</v>
      </c>
      <c r="O22" s="6">
        <v>1.0</v>
      </c>
      <c r="P22" s="6" t="s">
        <v>265</v>
      </c>
      <c r="Q22" s="6" t="s">
        <v>266</v>
      </c>
    </row>
    <row r="23" ht="132.0" customHeight="1">
      <c r="A23" s="6">
        <v>20.0</v>
      </c>
      <c r="B23" s="6" t="s">
        <v>267</v>
      </c>
      <c r="C23" s="6">
        <v>1.0</v>
      </c>
      <c r="D23" s="6" t="s">
        <v>62</v>
      </c>
      <c r="E23" s="6" t="s">
        <v>86</v>
      </c>
      <c r="F23" s="6" t="s">
        <v>234</v>
      </c>
      <c r="G23" s="6" t="s">
        <v>235</v>
      </c>
      <c r="H23" s="6"/>
      <c r="I23" s="6" t="s">
        <v>69</v>
      </c>
      <c r="J23" s="6" t="s">
        <v>95</v>
      </c>
      <c r="K23" s="6" t="s">
        <v>71</v>
      </c>
      <c r="L23" s="6" t="s">
        <v>73</v>
      </c>
      <c r="M23" s="6" t="b">
        <v>1</v>
      </c>
      <c r="N23" s="6">
        <v>45.0</v>
      </c>
      <c r="O23" s="6">
        <v>1.0</v>
      </c>
      <c r="P23" s="6" t="s">
        <v>271</v>
      </c>
      <c r="Q23" s="6" t="s">
        <v>272</v>
      </c>
    </row>
    <row r="24" ht="144.75" customHeight="1">
      <c r="A24" s="6">
        <v>21.0</v>
      </c>
      <c r="B24" s="6" t="s">
        <v>275</v>
      </c>
      <c r="C24" s="6">
        <v>1.0</v>
      </c>
      <c r="D24" s="6" t="s">
        <v>62</v>
      </c>
      <c r="E24" s="6" t="s">
        <v>86</v>
      </c>
      <c r="F24" s="6" t="s">
        <v>234</v>
      </c>
      <c r="G24" s="6" t="s">
        <v>235</v>
      </c>
      <c r="H24" s="6" t="s">
        <v>279</v>
      </c>
      <c r="I24" s="6" t="s">
        <v>69</v>
      </c>
      <c r="J24" s="6" t="s">
        <v>70</v>
      </c>
      <c r="K24" s="6" t="s">
        <v>71</v>
      </c>
      <c r="L24" s="6" t="s">
        <v>73</v>
      </c>
      <c r="M24" s="6" t="b">
        <v>1</v>
      </c>
      <c r="N24" s="6">
        <v>45.0</v>
      </c>
      <c r="O24" s="6">
        <v>1.0</v>
      </c>
      <c r="P24" s="6" t="s">
        <v>281</v>
      </c>
      <c r="Q24" s="6" t="s">
        <v>283</v>
      </c>
    </row>
    <row r="25" ht="105.0" customHeight="1">
      <c r="A25" s="6">
        <v>22.0</v>
      </c>
      <c r="B25" s="6" t="s">
        <v>284</v>
      </c>
      <c r="C25" s="6">
        <v>1.0</v>
      </c>
      <c r="D25" s="6" t="s">
        <v>62</v>
      </c>
      <c r="E25" s="6" t="s">
        <v>86</v>
      </c>
      <c r="F25" s="6" t="s">
        <v>244</v>
      </c>
      <c r="G25" s="6" t="s">
        <v>245</v>
      </c>
      <c r="H25" s="6"/>
      <c r="I25" s="6" t="s">
        <v>69</v>
      </c>
      <c r="J25" s="6" t="s">
        <v>70</v>
      </c>
      <c r="K25" s="6" t="s">
        <v>71</v>
      </c>
      <c r="L25" s="6" t="s">
        <v>73</v>
      </c>
      <c r="M25" s="6" t="b">
        <v>1</v>
      </c>
      <c r="N25" s="6">
        <v>45.0</v>
      </c>
      <c r="O25" s="6">
        <v>1.0</v>
      </c>
      <c r="P25" s="6" t="s">
        <v>291</v>
      </c>
      <c r="Q25" s="6" t="s">
        <v>292</v>
      </c>
    </row>
    <row r="26" ht="66.0" customHeight="1">
      <c r="A26" s="6">
        <v>23.0</v>
      </c>
      <c r="B26" s="6" t="s">
        <v>294</v>
      </c>
      <c r="C26" s="6">
        <v>1.0</v>
      </c>
      <c r="D26" s="6" t="s">
        <v>62</v>
      </c>
      <c r="E26" s="6" t="s">
        <v>86</v>
      </c>
      <c r="F26" s="6" t="s">
        <v>253</v>
      </c>
      <c r="G26" s="6" t="s">
        <v>254</v>
      </c>
      <c r="H26" s="6"/>
      <c r="I26" s="6" t="s">
        <v>69</v>
      </c>
      <c r="J26" s="6" t="s">
        <v>95</v>
      </c>
      <c r="K26" s="6" t="s">
        <v>71</v>
      </c>
      <c r="L26" s="6" t="s">
        <v>73</v>
      </c>
      <c r="M26" s="6" t="b">
        <v>1</v>
      </c>
      <c r="N26" s="6">
        <v>45.0</v>
      </c>
      <c r="O26" s="6">
        <v>1.0</v>
      </c>
      <c r="P26" s="6" t="s">
        <v>299</v>
      </c>
      <c r="Q26" s="6" t="s">
        <v>301</v>
      </c>
    </row>
    <row r="27" ht="158.25" customHeight="1">
      <c r="A27" s="6">
        <v>24.0</v>
      </c>
      <c r="B27" s="6" t="s">
        <v>303</v>
      </c>
      <c r="C27" s="6">
        <v>1.0</v>
      </c>
      <c r="D27" s="6" t="s">
        <v>62</v>
      </c>
      <c r="E27" s="6" t="s">
        <v>246</v>
      </c>
      <c r="F27" s="6" t="s">
        <v>244</v>
      </c>
      <c r="G27" s="6" t="s">
        <v>245</v>
      </c>
      <c r="H27" s="6"/>
      <c r="I27" s="6" t="s">
        <v>69</v>
      </c>
      <c r="J27" s="6" t="s">
        <v>95</v>
      </c>
      <c r="K27" s="6" t="s">
        <v>71</v>
      </c>
      <c r="L27" s="6" t="s">
        <v>73</v>
      </c>
      <c r="M27" s="6" t="b">
        <v>1</v>
      </c>
      <c r="N27" s="6">
        <v>60.0</v>
      </c>
      <c r="O27" s="6">
        <v>2.0</v>
      </c>
      <c r="P27" s="6" t="s">
        <v>308</v>
      </c>
      <c r="Q27" s="6" t="s">
        <v>310</v>
      </c>
    </row>
    <row r="28" ht="435.0" customHeight="1">
      <c r="A28" s="6">
        <v>25.0</v>
      </c>
      <c r="B28" s="6" t="s">
        <v>312</v>
      </c>
      <c r="C28" s="6">
        <v>1.0</v>
      </c>
      <c r="D28" s="6" t="s">
        <v>314</v>
      </c>
      <c r="E28" s="6" t="s">
        <v>246</v>
      </c>
      <c r="F28" s="6" t="s">
        <v>106</v>
      </c>
      <c r="G28" s="6" t="s">
        <v>108</v>
      </c>
      <c r="H28" s="6" t="s">
        <v>317</v>
      </c>
      <c r="I28" s="6" t="s">
        <v>69</v>
      </c>
      <c r="J28" s="6" t="s">
        <v>318</v>
      </c>
      <c r="K28" s="6" t="s">
        <v>319</v>
      </c>
      <c r="L28" s="6" t="s">
        <v>73</v>
      </c>
      <c r="M28" s="6" t="b">
        <v>0</v>
      </c>
      <c r="N28" s="6">
        <v>180.0</v>
      </c>
      <c r="O28" s="6">
        <v>3.0</v>
      </c>
      <c r="P28" s="6" t="s">
        <v>320</v>
      </c>
      <c r="Q28" s="6" t="s">
        <v>321</v>
      </c>
    </row>
    <row r="29" ht="462.0" customHeight="1">
      <c r="A29" s="6">
        <v>26.0</v>
      </c>
      <c r="B29" s="6" t="s">
        <v>322</v>
      </c>
      <c r="C29" s="6">
        <v>1.0</v>
      </c>
      <c r="D29" s="6" t="s">
        <v>314</v>
      </c>
      <c r="E29" s="6" t="s">
        <v>64</v>
      </c>
      <c r="F29" s="6" t="s">
        <v>274</v>
      </c>
      <c r="G29" s="6" t="s">
        <v>276</v>
      </c>
      <c r="H29" s="6" t="s">
        <v>323</v>
      </c>
      <c r="I29" s="6" t="s">
        <v>69</v>
      </c>
      <c r="J29" s="6" t="s">
        <v>324</v>
      </c>
      <c r="K29" s="6" t="s">
        <v>319</v>
      </c>
      <c r="L29" s="6" t="s">
        <v>73</v>
      </c>
      <c r="M29" s="6" t="b">
        <v>0</v>
      </c>
      <c r="N29" s="6">
        <v>240.0</v>
      </c>
      <c r="O29" s="6">
        <v>4.0</v>
      </c>
      <c r="P29" s="6" t="s">
        <v>326</v>
      </c>
      <c r="Q29" s="6" t="s">
        <v>327</v>
      </c>
    </row>
    <row r="30" ht="1095.0" customHeight="1">
      <c r="A30" s="6">
        <v>27.0</v>
      </c>
      <c r="B30" s="6" t="s">
        <v>328</v>
      </c>
      <c r="C30" s="6">
        <v>1.0</v>
      </c>
      <c r="D30" s="6" t="s">
        <v>314</v>
      </c>
      <c r="E30" s="6" t="s">
        <v>246</v>
      </c>
      <c r="F30" s="6" t="s">
        <v>286</v>
      </c>
      <c r="G30" s="6" t="s">
        <v>287</v>
      </c>
      <c r="H30" s="6" t="s">
        <v>330</v>
      </c>
      <c r="I30" s="6" t="s">
        <v>69</v>
      </c>
      <c r="J30" s="6" t="s">
        <v>318</v>
      </c>
      <c r="K30" s="6" t="s">
        <v>319</v>
      </c>
      <c r="L30" s="6" t="s">
        <v>73</v>
      </c>
      <c r="M30" s="6" t="b">
        <v>0</v>
      </c>
      <c r="N30" s="6">
        <v>240.0</v>
      </c>
      <c r="O30" s="6">
        <v>4.0</v>
      </c>
      <c r="P30" s="6" t="s">
        <v>331</v>
      </c>
      <c r="Q30" s="6" t="s">
        <v>332</v>
      </c>
    </row>
    <row r="31" ht="316.5" customHeight="1">
      <c r="A31" s="6">
        <v>28.0</v>
      </c>
      <c r="B31" s="6" t="s">
        <v>333</v>
      </c>
      <c r="C31" s="6">
        <v>1.0</v>
      </c>
      <c r="D31" s="6" t="s">
        <v>314</v>
      </c>
      <c r="E31" s="6" t="s">
        <v>64</v>
      </c>
      <c r="F31" s="6" t="s">
        <v>297</v>
      </c>
      <c r="G31" s="6" t="s">
        <v>298</v>
      </c>
      <c r="H31" s="6"/>
      <c r="I31" s="6" t="s">
        <v>69</v>
      </c>
      <c r="J31" s="6" t="s">
        <v>334</v>
      </c>
      <c r="K31" s="6" t="s">
        <v>319</v>
      </c>
      <c r="L31" s="6" t="s">
        <v>73</v>
      </c>
      <c r="M31" s="6" t="b">
        <v>0</v>
      </c>
      <c r="N31" s="6">
        <v>240.0</v>
      </c>
      <c r="O31" s="6">
        <v>5.0</v>
      </c>
      <c r="P31" s="6" t="s">
        <v>335</v>
      </c>
      <c r="Q31" s="6" t="s">
        <v>336</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Q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16.0"/>
    <col customWidth="1" min="8" max="26" width="8.63"/>
  </cols>
  <sheetData>
    <row r="1">
      <c r="A1" s="3" t="s">
        <v>7</v>
      </c>
      <c r="B1" s="4" t="s">
        <v>306</v>
      </c>
      <c r="C1" s="4" t="s">
        <v>307</v>
      </c>
      <c r="D1" s="4" t="s">
        <v>309</v>
      </c>
      <c r="E1" s="4" t="s">
        <v>311</v>
      </c>
      <c r="F1" s="4" t="s">
        <v>313</v>
      </c>
      <c r="G1" s="5" t="s">
        <v>315</v>
      </c>
    </row>
    <row r="2">
      <c r="A2" s="6">
        <v>1.0</v>
      </c>
      <c r="B2" s="6">
        <v>0.0</v>
      </c>
      <c r="C2" s="6">
        <v>0.0</v>
      </c>
      <c r="D2" s="6">
        <v>1.0</v>
      </c>
      <c r="E2" s="6">
        <v>0.0</v>
      </c>
      <c r="F2" s="6">
        <v>0.0</v>
      </c>
      <c r="G2" s="6">
        <v>0.0</v>
      </c>
    </row>
    <row r="3">
      <c r="A3" s="6">
        <v>2.0</v>
      </c>
      <c r="B3" s="6">
        <v>2.0</v>
      </c>
      <c r="C3" s="6">
        <v>0.0</v>
      </c>
      <c r="D3" s="6">
        <v>0.0</v>
      </c>
      <c r="E3" s="6">
        <v>0.0</v>
      </c>
      <c r="F3" s="6">
        <v>0.0</v>
      </c>
      <c r="G3" s="6">
        <v>0.0</v>
      </c>
    </row>
    <row r="4">
      <c r="A4" s="6">
        <v>3.0</v>
      </c>
      <c r="B4" s="6">
        <v>0.0</v>
      </c>
      <c r="C4" s="6">
        <v>0.0</v>
      </c>
      <c r="D4" s="6">
        <v>1.0</v>
      </c>
      <c r="E4" s="6">
        <v>0.0</v>
      </c>
      <c r="F4" s="6">
        <v>0.0</v>
      </c>
      <c r="G4" s="6">
        <v>0.0</v>
      </c>
    </row>
    <row r="5">
      <c r="A5" s="6">
        <v>4.0</v>
      </c>
      <c r="B5" s="6">
        <v>2.0</v>
      </c>
      <c r="C5" s="6">
        <v>0.0</v>
      </c>
      <c r="D5" s="6">
        <v>0.0</v>
      </c>
      <c r="E5" s="6">
        <v>2.0</v>
      </c>
      <c r="F5" s="6">
        <v>2.0</v>
      </c>
      <c r="G5" s="6">
        <v>0.0</v>
      </c>
    </row>
    <row r="6">
      <c r="A6" s="6">
        <v>5.0</v>
      </c>
      <c r="B6" s="6">
        <v>1.0</v>
      </c>
      <c r="C6" s="6">
        <v>0.0</v>
      </c>
      <c r="D6" s="6">
        <v>0.0</v>
      </c>
      <c r="E6" s="6">
        <v>0.0</v>
      </c>
      <c r="F6" s="6">
        <v>0.0</v>
      </c>
      <c r="G6" s="6">
        <v>0.0</v>
      </c>
    </row>
    <row r="7">
      <c r="A7" s="6">
        <v>6.0</v>
      </c>
      <c r="B7" s="6">
        <v>1.0</v>
      </c>
      <c r="C7" s="6">
        <v>0.0</v>
      </c>
      <c r="D7" s="6">
        <v>0.0</v>
      </c>
      <c r="E7" s="6">
        <v>0.0</v>
      </c>
      <c r="F7" s="6">
        <v>0.0</v>
      </c>
      <c r="G7" s="6">
        <v>0.0</v>
      </c>
    </row>
    <row r="8">
      <c r="A8" s="6">
        <v>7.0</v>
      </c>
      <c r="B8" s="6">
        <v>0.0</v>
      </c>
      <c r="C8" s="6">
        <v>0.0</v>
      </c>
      <c r="D8" s="6">
        <v>1.0</v>
      </c>
      <c r="E8" s="6">
        <v>0.0</v>
      </c>
      <c r="F8" s="6">
        <v>0.0</v>
      </c>
      <c r="G8" s="6">
        <v>0.0</v>
      </c>
    </row>
    <row r="9">
      <c r="A9" s="6">
        <v>8.0</v>
      </c>
      <c r="B9" s="6">
        <v>0.0</v>
      </c>
      <c r="C9" s="6">
        <v>0.0</v>
      </c>
      <c r="D9" s="6">
        <v>1.0</v>
      </c>
      <c r="E9" s="6">
        <v>0.0</v>
      </c>
      <c r="F9" s="6">
        <v>0.0</v>
      </c>
      <c r="G9" s="6">
        <v>0.0</v>
      </c>
    </row>
    <row r="10">
      <c r="A10" s="6">
        <v>9.0</v>
      </c>
      <c r="B10" s="6">
        <v>1.0</v>
      </c>
      <c r="C10" s="6">
        <v>0.0</v>
      </c>
      <c r="D10" s="6">
        <v>1.0</v>
      </c>
      <c r="E10" s="6">
        <v>0.0</v>
      </c>
      <c r="F10" s="6">
        <v>0.0</v>
      </c>
      <c r="G10" s="6">
        <v>0.0</v>
      </c>
    </row>
    <row r="11">
      <c r="A11" s="6">
        <v>10.0</v>
      </c>
      <c r="B11" s="6">
        <v>0.0</v>
      </c>
      <c r="C11" s="6">
        <v>0.0</v>
      </c>
      <c r="D11" s="6">
        <v>1.0</v>
      </c>
      <c r="E11" s="6">
        <v>0.0</v>
      </c>
      <c r="F11" s="6">
        <v>0.0</v>
      </c>
      <c r="G11" s="6">
        <v>0.0</v>
      </c>
    </row>
    <row r="12">
      <c r="A12" s="6">
        <v>11.0</v>
      </c>
      <c r="B12" s="6">
        <v>0.0</v>
      </c>
      <c r="C12" s="6">
        <v>0.0</v>
      </c>
      <c r="D12" s="6">
        <v>2.0</v>
      </c>
      <c r="E12" s="6">
        <v>0.0</v>
      </c>
      <c r="F12" s="6">
        <v>0.0</v>
      </c>
      <c r="G12" s="6">
        <v>0.0</v>
      </c>
    </row>
    <row r="13">
      <c r="A13" s="6">
        <v>12.0</v>
      </c>
      <c r="B13" s="6">
        <v>0.0</v>
      </c>
      <c r="C13" s="6">
        <v>0.0</v>
      </c>
      <c r="D13" s="6">
        <v>1.0</v>
      </c>
      <c r="E13" s="6">
        <v>0.0</v>
      </c>
      <c r="F13" s="6">
        <v>0.0</v>
      </c>
      <c r="G13" s="6">
        <v>0.0</v>
      </c>
    </row>
    <row r="14">
      <c r="A14" s="6">
        <v>13.0</v>
      </c>
      <c r="B14" s="6">
        <v>0.0</v>
      </c>
      <c r="C14" s="6">
        <v>0.0</v>
      </c>
      <c r="D14" s="6">
        <v>1.0</v>
      </c>
      <c r="E14" s="6">
        <v>0.0</v>
      </c>
      <c r="F14" s="6">
        <v>0.0</v>
      </c>
      <c r="G14" s="6">
        <v>0.0</v>
      </c>
    </row>
    <row r="15">
      <c r="A15" s="6">
        <v>14.0</v>
      </c>
      <c r="B15" s="6">
        <v>0.0</v>
      </c>
      <c r="C15" s="6">
        <v>1.0</v>
      </c>
      <c r="D15" s="6">
        <v>0.0</v>
      </c>
      <c r="E15" s="6">
        <v>0.0</v>
      </c>
      <c r="F15" s="6">
        <v>0.0</v>
      </c>
      <c r="G15" s="6">
        <v>0.0</v>
      </c>
    </row>
    <row r="16">
      <c r="A16" s="6">
        <v>15.0</v>
      </c>
      <c r="B16" s="6">
        <v>3.0</v>
      </c>
      <c r="C16" s="6">
        <v>0.0</v>
      </c>
      <c r="D16" s="6">
        <v>0.0</v>
      </c>
      <c r="E16" s="6">
        <v>0.0</v>
      </c>
      <c r="F16" s="6">
        <v>0.0</v>
      </c>
      <c r="G16" s="6">
        <v>0.0</v>
      </c>
    </row>
    <row r="17">
      <c r="A17" s="6">
        <v>16.0</v>
      </c>
      <c r="B17" s="6">
        <v>1.0</v>
      </c>
      <c r="C17" s="6">
        <v>1.0</v>
      </c>
      <c r="D17" s="6">
        <v>0.0</v>
      </c>
      <c r="E17" s="6">
        <v>0.0</v>
      </c>
      <c r="F17" s="6">
        <v>0.0</v>
      </c>
      <c r="G17" s="6">
        <v>0.0</v>
      </c>
    </row>
    <row r="18">
      <c r="A18" s="6">
        <v>17.0</v>
      </c>
      <c r="B18" s="6">
        <v>1.0</v>
      </c>
      <c r="C18" s="6">
        <v>0.0</v>
      </c>
      <c r="D18" s="6">
        <v>0.0</v>
      </c>
      <c r="E18" s="6">
        <v>0.0</v>
      </c>
      <c r="F18" s="6">
        <v>0.0</v>
      </c>
      <c r="G18" s="6">
        <v>0.0</v>
      </c>
    </row>
    <row r="19">
      <c r="A19" s="6">
        <v>18.0</v>
      </c>
      <c r="B19" s="6">
        <v>0.0</v>
      </c>
      <c r="C19" s="6">
        <v>0.0</v>
      </c>
      <c r="D19" s="6">
        <v>0.0</v>
      </c>
      <c r="E19" s="6">
        <v>0.0</v>
      </c>
      <c r="F19" s="6">
        <v>3.0</v>
      </c>
      <c r="G19" s="6">
        <v>1.0</v>
      </c>
    </row>
    <row r="20">
      <c r="A20" s="6">
        <v>19.0</v>
      </c>
      <c r="B20" s="6">
        <v>0.0</v>
      </c>
      <c r="C20" s="6">
        <v>0.0</v>
      </c>
      <c r="D20" s="6">
        <v>0.0</v>
      </c>
      <c r="E20" s="6">
        <v>2.0</v>
      </c>
      <c r="F20" s="6">
        <v>2.0</v>
      </c>
      <c r="G20" s="6">
        <v>0.0</v>
      </c>
    </row>
    <row r="21" ht="15.75" customHeight="1">
      <c r="A21" s="6">
        <v>20.0</v>
      </c>
      <c r="B21" s="6">
        <v>0.0</v>
      </c>
      <c r="C21" s="6">
        <v>0.0</v>
      </c>
      <c r="D21" s="6">
        <v>0.0</v>
      </c>
      <c r="E21" s="6">
        <v>0.0</v>
      </c>
      <c r="F21" s="6">
        <v>3.0</v>
      </c>
      <c r="G21" s="6">
        <v>1.0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